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CWC ALL DOCS\MDCC Rail Ops\R-15\GIMB to MDCC to MATP 09.10.2026\"/>
    </mc:Choice>
  </mc:AlternateContent>
  <xr:revisionPtr revIDLastSave="0" documentId="13_ncr:1_{AE312884-BC59-4E94-8C30-14CC53959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D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4" l="1"/>
  <c r="I11" i="4"/>
  <c r="I12" i="4"/>
  <c r="I14" i="4"/>
  <c r="I10" i="4"/>
  <c r="I9" i="4" l="1"/>
  <c r="I8" i="4"/>
  <c r="I6" i="4"/>
  <c r="I7" i="4"/>
  <c r="G15" i="4"/>
  <c r="H15" i="4"/>
  <c r="I15" i="4" l="1"/>
</calcChain>
</file>

<file path=xl/sharedStrings.xml><?xml version="1.0" encoding="utf-8"?>
<sst xmlns="http://schemas.openxmlformats.org/spreadsheetml/2006/main" count="64" uniqueCount="38">
  <si>
    <t>Terminal</t>
  </si>
  <si>
    <t>LINE</t>
  </si>
  <si>
    <t>Destination</t>
  </si>
  <si>
    <t>CMA</t>
  </si>
  <si>
    <t>INWPG</t>
  </si>
  <si>
    <t>Vessel Name</t>
  </si>
  <si>
    <t>Smtp Date</t>
  </si>
  <si>
    <t>Smtp Number</t>
  </si>
  <si>
    <t>TEUs</t>
  </si>
  <si>
    <t>Dwell Days</t>
  </si>
  <si>
    <t>TOTAL</t>
  </si>
  <si>
    <t>T2</t>
  </si>
  <si>
    <t>CT3</t>
  </si>
  <si>
    <t>MSC</t>
  </si>
  <si>
    <t>CT4</t>
  </si>
  <si>
    <t>CT2</t>
  </si>
  <si>
    <t>KMD</t>
  </si>
  <si>
    <t>ESL DACHAN BAY [IMO 9535216]</t>
  </si>
  <si>
    <t>2734851</t>
  </si>
  <si>
    <t>05.10.2026</t>
  </si>
  <si>
    <t>MSC SHRINIKA V [IMO 9292230]</t>
  </si>
  <si>
    <t>07.10.2026</t>
  </si>
  <si>
    <t>2735103</t>
  </si>
  <si>
    <t>CMA CGM GANGES [IMO 9718117]</t>
  </si>
  <si>
    <t>2735235</t>
  </si>
  <si>
    <t>MSC LORETO [IMO 9934735]</t>
  </si>
  <si>
    <t>2735403</t>
  </si>
  <si>
    <t>KMTC CHENNAI [IMO 9375513]</t>
  </si>
  <si>
    <t>2735464</t>
  </si>
  <si>
    <t>08.10.2026</t>
  </si>
  <si>
    <t>HENG HUI 6 [IMO 9287895]</t>
  </si>
  <si>
    <t>2735746</t>
  </si>
  <si>
    <t>09.10.2026</t>
  </si>
  <si>
    <t>2735751</t>
  </si>
  <si>
    <t>Dear ICD Team, please load maximum possible in line with Railways guidelines for double stack. Please ensure loading of long pending containers as per FIFO.</t>
  </si>
  <si>
    <t>MSC BARBARA [IMO 9226932]</t>
  </si>
  <si>
    <t>2735855</t>
  </si>
  <si>
    <t> BACKLOADING PLAN OF CWC R-15 MDCC TO MATP (48 BLSS) DOUBLE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</si>
</sst>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charset val="134"/>
      <scheme val="minor"/>
    </font>
    <font>
      <sz val="12"/>
      <color theme="1"/>
      <name val="Bookman Old Style"/>
      <family val="1"/>
    </font>
    <font>
      <b/>
      <sz val="14"/>
      <color rgb="FF000000"/>
      <name val="Bookman Old Style"/>
      <family val="1"/>
    </font>
    <font>
      <sz val="14"/>
      <color rgb="FF000000"/>
      <name val="Bookman Old Style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www.wps.cn/officeDocument/2021/sharedlinks" Target="NUL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abSelected="1" zoomScale="93" workbookViewId="0">
      <selection activeCell="B19" sqref="B19:K19"/>
    </sheetView>
  </sheetViews>
  <sheetFormatPr defaultRowHeight="15.6"/>
  <cols>
    <col min="1" max="1" width="5.59765625" customWidth="1"/>
    <col min="2" max="2" width="13.5" customWidth="1"/>
    <col min="3" max="3" width="48.3984375" bestFit="1" customWidth="1"/>
    <col min="4" max="4" width="10.19921875" customWidth="1"/>
    <col min="5" max="5" width="15.296875" bestFit="1" customWidth="1"/>
    <col min="6" max="6" width="17" customWidth="1"/>
    <col min="9" max="9" width="21.59765625" customWidth="1"/>
    <col min="10" max="10" width="16" customWidth="1"/>
    <col min="11" max="11" width="16.5" customWidth="1"/>
  </cols>
  <sheetData>
    <row r="2" spans="2:11" ht="16.2" thickBot="1"/>
    <row r="3" spans="2:11" ht="18.600000000000001" thickBot="1">
      <c r="B3" s="16" t="s">
        <v>37</v>
      </c>
      <c r="C3" s="17"/>
      <c r="D3" s="17"/>
      <c r="E3" s="17"/>
      <c r="F3" s="17"/>
      <c r="G3" s="17"/>
      <c r="H3" s="17"/>
      <c r="I3" s="17"/>
      <c r="J3" s="17"/>
      <c r="K3" s="18"/>
    </row>
    <row r="4" spans="2:11" ht="18" thickBot="1">
      <c r="B4" s="9"/>
      <c r="C4" s="9"/>
      <c r="D4" s="9"/>
      <c r="E4" s="9"/>
      <c r="F4" s="9"/>
      <c r="G4" s="9"/>
      <c r="H4" s="9"/>
      <c r="I4" s="9"/>
      <c r="J4" s="9"/>
      <c r="K4" s="9"/>
    </row>
    <row r="5" spans="2:11" ht="17.399999999999999" customHeight="1" thickBot="1">
      <c r="B5" s="7" t="s">
        <v>0</v>
      </c>
      <c r="C5" s="3" t="s">
        <v>5</v>
      </c>
      <c r="D5" s="3" t="s">
        <v>1</v>
      </c>
      <c r="E5" s="3" t="s">
        <v>7</v>
      </c>
      <c r="F5" s="3" t="s">
        <v>6</v>
      </c>
      <c r="G5" s="3">
        <v>20</v>
      </c>
      <c r="H5" s="3">
        <v>40</v>
      </c>
      <c r="I5" s="3" t="s">
        <v>8</v>
      </c>
      <c r="J5" s="3" t="s">
        <v>2</v>
      </c>
      <c r="K5" s="14" t="s">
        <v>9</v>
      </c>
    </row>
    <row r="6" spans="2:11" ht="17.399999999999999" customHeight="1">
      <c r="B6" s="8" t="s">
        <v>15</v>
      </c>
      <c r="C6" s="15" t="s">
        <v>17</v>
      </c>
      <c r="D6" s="4" t="s">
        <v>16</v>
      </c>
      <c r="E6" s="13" t="s">
        <v>18</v>
      </c>
      <c r="F6" s="4" t="s">
        <v>19</v>
      </c>
      <c r="G6" s="4">
        <v>1</v>
      </c>
      <c r="H6" s="4">
        <v>0</v>
      </c>
      <c r="I6" s="4">
        <f t="shared" ref="I6:I14" si="0">G6+2*H6</f>
        <v>1</v>
      </c>
      <c r="J6" s="4" t="s">
        <v>4</v>
      </c>
      <c r="K6" s="4">
        <v>4</v>
      </c>
    </row>
    <row r="7" spans="2:11" ht="17.399999999999999" customHeight="1">
      <c r="B7" s="8" t="s">
        <v>12</v>
      </c>
      <c r="C7" s="15" t="s">
        <v>20</v>
      </c>
      <c r="D7" s="4" t="s">
        <v>13</v>
      </c>
      <c r="E7" s="13">
        <v>2735088</v>
      </c>
      <c r="F7" s="4" t="s">
        <v>21</v>
      </c>
      <c r="G7" s="4">
        <v>0</v>
      </c>
      <c r="H7" s="4">
        <v>8</v>
      </c>
      <c r="I7" s="4">
        <f t="shared" si="0"/>
        <v>16</v>
      </c>
      <c r="J7" s="4" t="s">
        <v>4</v>
      </c>
      <c r="K7" s="4">
        <v>3</v>
      </c>
    </row>
    <row r="8" spans="2:11" ht="17.399999999999999" customHeight="1">
      <c r="B8" s="8" t="s">
        <v>12</v>
      </c>
      <c r="C8" s="5" t="s">
        <v>20</v>
      </c>
      <c r="D8" s="4" t="s">
        <v>13</v>
      </c>
      <c r="E8" s="13" t="s">
        <v>22</v>
      </c>
      <c r="F8" s="4" t="s">
        <v>21</v>
      </c>
      <c r="G8" s="4">
        <v>0</v>
      </c>
      <c r="H8" s="4">
        <v>17</v>
      </c>
      <c r="I8" s="4">
        <f t="shared" si="0"/>
        <v>34</v>
      </c>
      <c r="J8" s="4" t="s">
        <v>4</v>
      </c>
      <c r="K8" s="4">
        <v>3</v>
      </c>
    </row>
    <row r="9" spans="2:11" ht="17.399999999999999" customHeight="1">
      <c r="B9" s="8" t="s">
        <v>14</v>
      </c>
      <c r="C9" s="5" t="s">
        <v>23</v>
      </c>
      <c r="D9" s="4" t="s">
        <v>3</v>
      </c>
      <c r="E9" s="13" t="s">
        <v>24</v>
      </c>
      <c r="F9" s="4" t="s">
        <v>21</v>
      </c>
      <c r="G9" s="4">
        <v>0</v>
      </c>
      <c r="H9" s="4">
        <v>2</v>
      </c>
      <c r="I9" s="4">
        <f t="shared" si="0"/>
        <v>4</v>
      </c>
      <c r="J9" s="4" t="s">
        <v>4</v>
      </c>
      <c r="K9" s="4">
        <v>3</v>
      </c>
    </row>
    <row r="10" spans="2:11" ht="17.399999999999999" customHeight="1">
      <c r="B10" s="8" t="s">
        <v>12</v>
      </c>
      <c r="C10" s="5" t="s">
        <v>25</v>
      </c>
      <c r="D10" s="4" t="s">
        <v>13</v>
      </c>
      <c r="E10" s="13" t="s">
        <v>26</v>
      </c>
      <c r="F10" s="4" t="s">
        <v>21</v>
      </c>
      <c r="G10" s="4">
        <v>1</v>
      </c>
      <c r="H10" s="4">
        <v>3</v>
      </c>
      <c r="I10" s="4">
        <f t="shared" si="0"/>
        <v>7</v>
      </c>
      <c r="J10" s="4" t="s">
        <v>4</v>
      </c>
      <c r="K10" s="4">
        <v>3</v>
      </c>
    </row>
    <row r="11" spans="2:11" ht="17.399999999999999" customHeight="1">
      <c r="B11" s="8" t="s">
        <v>11</v>
      </c>
      <c r="C11" s="5" t="s">
        <v>27</v>
      </c>
      <c r="D11" s="4" t="s">
        <v>16</v>
      </c>
      <c r="E11" s="13" t="s">
        <v>28</v>
      </c>
      <c r="F11" s="4" t="s">
        <v>29</v>
      </c>
      <c r="G11" s="4">
        <v>0</v>
      </c>
      <c r="H11" s="4">
        <v>1</v>
      </c>
      <c r="I11" s="4">
        <f t="shared" si="0"/>
        <v>2</v>
      </c>
      <c r="J11" s="4" t="s">
        <v>4</v>
      </c>
      <c r="K11" s="4">
        <v>2</v>
      </c>
    </row>
    <row r="12" spans="2:11" ht="17.399999999999999" customHeight="1">
      <c r="B12" s="8" t="s">
        <v>14</v>
      </c>
      <c r="C12" s="5" t="s">
        <v>30</v>
      </c>
      <c r="D12" s="4" t="s">
        <v>3</v>
      </c>
      <c r="E12" s="13" t="s">
        <v>31</v>
      </c>
      <c r="F12" s="4" t="s">
        <v>32</v>
      </c>
      <c r="G12" s="4">
        <v>3</v>
      </c>
      <c r="H12" s="4">
        <v>41</v>
      </c>
      <c r="I12" s="4">
        <f t="shared" si="0"/>
        <v>85</v>
      </c>
      <c r="J12" s="4" t="s">
        <v>4</v>
      </c>
      <c r="K12" s="4">
        <v>1</v>
      </c>
    </row>
    <row r="13" spans="2:11" ht="17.399999999999999" customHeight="1">
      <c r="B13" s="8" t="s">
        <v>14</v>
      </c>
      <c r="C13" s="5" t="s">
        <v>30</v>
      </c>
      <c r="D13" s="4" t="s">
        <v>3</v>
      </c>
      <c r="E13" s="13" t="s">
        <v>33</v>
      </c>
      <c r="F13" s="4" t="s">
        <v>32</v>
      </c>
      <c r="G13" s="4">
        <v>0</v>
      </c>
      <c r="H13" s="4">
        <v>21</v>
      </c>
      <c r="I13" s="4">
        <f t="shared" si="0"/>
        <v>42</v>
      </c>
      <c r="J13" s="4" t="s">
        <v>4</v>
      </c>
      <c r="K13" s="4">
        <v>1</v>
      </c>
    </row>
    <row r="14" spans="2:11" ht="17.399999999999999" customHeight="1">
      <c r="B14" s="8" t="s">
        <v>12</v>
      </c>
      <c r="C14" s="5" t="s">
        <v>35</v>
      </c>
      <c r="D14" s="4" t="s">
        <v>13</v>
      </c>
      <c r="E14" s="13" t="s">
        <v>36</v>
      </c>
      <c r="F14" s="4" t="s">
        <v>32</v>
      </c>
      <c r="G14" s="4">
        <v>1</v>
      </c>
      <c r="H14" s="4">
        <v>0</v>
      </c>
      <c r="I14" s="4">
        <f t="shared" si="0"/>
        <v>1</v>
      </c>
      <c r="J14" s="4" t="s">
        <v>4</v>
      </c>
      <c r="K14" s="4">
        <v>1</v>
      </c>
    </row>
    <row r="15" spans="2:11" ht="18">
      <c r="B15" s="8"/>
      <c r="C15" s="5"/>
      <c r="D15" s="9"/>
      <c r="E15" s="9"/>
      <c r="F15" s="6" t="s">
        <v>10</v>
      </c>
      <c r="G15" s="6">
        <f>SUM(G6:G14)</f>
        <v>6</v>
      </c>
      <c r="H15" s="6">
        <f>SUM(H6:H14)</f>
        <v>93</v>
      </c>
      <c r="I15" s="6">
        <f>SUM(I6:I14)</f>
        <v>192</v>
      </c>
      <c r="J15" s="2"/>
      <c r="K15" s="9"/>
    </row>
    <row r="16" spans="2:11" ht="18.600000000000001" thickBot="1">
      <c r="B16" s="10"/>
      <c r="C16" s="11"/>
      <c r="D16" s="12"/>
      <c r="E16" s="12"/>
      <c r="F16" s="12"/>
      <c r="G16" s="12"/>
      <c r="H16" s="12"/>
      <c r="I16" s="12"/>
      <c r="J16" s="12"/>
      <c r="K16" s="12"/>
    </row>
    <row r="17" spans="2:11" ht="43.2" customHeight="1" thickBot="1">
      <c r="B17" s="19" t="s">
        <v>34</v>
      </c>
      <c r="C17" s="20"/>
      <c r="D17" s="20"/>
      <c r="E17" s="20"/>
      <c r="F17" s="20"/>
      <c r="G17" s="20"/>
      <c r="H17" s="20"/>
      <c r="I17" s="20"/>
      <c r="J17" s="20"/>
      <c r="K17" s="2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2:11">
      <c r="G20" s="1"/>
      <c r="H20" s="1"/>
      <c r="I20" s="1"/>
      <c r="J20" s="1"/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>
      <c r="B23" s="1"/>
      <c r="C23" s="1"/>
      <c r="D23" s="1"/>
      <c r="E23" s="1"/>
      <c r="F23" s="1"/>
      <c r="G23" s="1"/>
      <c r="H23" s="1"/>
      <c r="I23" s="1"/>
      <c r="J23" s="1"/>
      <c r="K23" s="1"/>
    </row>
  </sheetData>
  <mergeCells count="3">
    <mergeCell ref="B3:K3"/>
    <mergeCell ref="B17:K17"/>
    <mergeCell ref="B19:K19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Munendra Dhayal</cp:lastModifiedBy>
  <dcterms:created xsi:type="dcterms:W3CDTF">2025-09-02T06:36:14Z</dcterms:created>
  <dcterms:modified xsi:type="dcterms:W3CDTF">2026-10-09T17:20:09Z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4005C1F0C4E54D38B91806BE11E05330_11</vt:lpwstr>
  </property>
  <property fmtid="{D5CDD505-2E9C-101B-9397-08002B2CF9AE}" pid="3" name="KSOProductBuildVer">
    <vt:lpwstr>2057-12.2.0.22530</vt:lpwstr>
  </property>
</Properties>
</file>