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CWC ALL DOCS\MDCC Rail Ops\L-10\KPRK to MDCC to MATP 02.09.2026\"/>
    </mc:Choice>
  </mc:AlternateContent>
  <xr:revisionPtr revIDLastSave="0" documentId="13_ncr:1_{E731A1BC-9D73-40D2-9F3B-90E9B93346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Sheet1!$B$5:$Q$90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5" i="1" l="1"/>
  <c r="N89" i="1"/>
  <c r="N86" i="1"/>
  <c r="N84" i="1"/>
  <c r="N88" i="1"/>
  <c r="N87" i="1"/>
  <c r="M90" i="1"/>
  <c r="N83" i="1"/>
  <c r="O90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6" i="1"/>
  <c r="N90" i="1" l="1"/>
</calcChain>
</file>

<file path=xl/sharedStrings.xml><?xml version="1.0" encoding="utf-8"?>
<sst xmlns="http://schemas.openxmlformats.org/spreadsheetml/2006/main" count="944" uniqueCount="174">
  <si>
    <t>SR. NO.</t>
  </si>
  <si>
    <t>Wagon_No</t>
  </si>
  <si>
    <t>Container_No</t>
  </si>
  <si>
    <t>CT_Size</t>
  </si>
  <si>
    <t>Smtp_No</t>
  </si>
  <si>
    <t>Position</t>
  </si>
  <si>
    <t>Commodity code</t>
  </si>
  <si>
    <t>L/E</t>
  </si>
  <si>
    <t>S_Line</t>
  </si>
  <si>
    <t>Cont Commodity</t>
  </si>
  <si>
    <t>Type</t>
  </si>
  <si>
    <t>Ct_Tare</t>
  </si>
  <si>
    <t>Cargo_Wt</t>
  </si>
  <si>
    <t>Gross_Wt</t>
  </si>
  <si>
    <t>Destn</t>
  </si>
  <si>
    <t>HSN Code</t>
  </si>
  <si>
    <t>NIGT OTHR</t>
  </si>
  <si>
    <t>L</t>
  </si>
  <si>
    <t>Assorted Commodity</t>
  </si>
  <si>
    <t>EXIM</t>
  </si>
  <si>
    <t>Booking station- MDCC  07AAACC1206D3ZG</t>
  </si>
  <si>
    <t>Lower</t>
  </si>
  <si>
    <t>Upper</t>
  </si>
  <si>
    <t>CMA</t>
  </si>
  <si>
    <t>Destination station - MATP -  07AAACC1206D3ZG</t>
  </si>
  <si>
    <t>MATP</t>
  </si>
  <si>
    <t>61401821229</t>
  </si>
  <si>
    <t>61401821236</t>
  </si>
  <si>
    <t>61401821243</t>
  </si>
  <si>
    <t>61401821250</t>
  </si>
  <si>
    <t>61401821267</t>
  </si>
  <si>
    <t>61401821274</t>
  </si>
  <si>
    <t>61401821281</t>
  </si>
  <si>
    <t>61401821298</t>
  </si>
  <si>
    <t>61401821304</t>
  </si>
  <si>
    <t>61401821311</t>
  </si>
  <si>
    <t>61401821328</t>
  </si>
  <si>
    <t>61401821335</t>
  </si>
  <si>
    <t>61401821342</t>
  </si>
  <si>
    <t>61401821359</t>
  </si>
  <si>
    <t>61401821366</t>
  </si>
  <si>
    <t>61401821373</t>
  </si>
  <si>
    <t>61401821380</t>
  </si>
  <si>
    <t>61401821397</t>
  </si>
  <si>
    <t>40</t>
  </si>
  <si>
    <t>20</t>
  </si>
  <si>
    <t>61401821608</t>
  </si>
  <si>
    <t>61401821615</t>
  </si>
  <si>
    <t>61401821622</t>
  </si>
  <si>
    <t>61401821639</t>
  </si>
  <si>
    <t>61401821649</t>
  </si>
  <si>
    <t>61401821653</t>
  </si>
  <si>
    <t>61401821660</t>
  </si>
  <si>
    <t>61401821677</t>
  </si>
  <si>
    <t>61401821684</t>
  </si>
  <si>
    <t>61401821691</t>
  </si>
  <si>
    <t>61401821707</t>
  </si>
  <si>
    <t>61401821714</t>
  </si>
  <si>
    <t>61401821721</t>
  </si>
  <si>
    <t>61401821738</t>
  </si>
  <si>
    <t>61401821745</t>
  </si>
  <si>
    <t>61401821752</t>
  </si>
  <si>
    <t>61401821769</t>
  </si>
  <si>
    <t>61401821776</t>
  </si>
  <si>
    <t>61401821783</t>
  </si>
  <si>
    <t>61401821790</t>
  </si>
  <si>
    <t>61401821806</t>
  </si>
  <si>
    <t>61401821813</t>
  </si>
  <si>
    <t>61401821820</t>
  </si>
  <si>
    <t>61401821837</t>
  </si>
  <si>
    <t>61401821844</t>
  </si>
  <si>
    <t>61401821851</t>
  </si>
  <si>
    <t>61401821868</t>
  </si>
  <si>
    <t>BEAU6134447</t>
  </si>
  <si>
    <t>TXGU4293029</t>
  </si>
  <si>
    <t>BEAU4434907</t>
  </si>
  <si>
    <t>TCNU3878335</t>
  </si>
  <si>
    <t>FTAU1456314</t>
  </si>
  <si>
    <t>MSMU1576770</t>
  </si>
  <si>
    <t>UETU2596919</t>
  </si>
  <si>
    <t>MSBU1360468</t>
  </si>
  <si>
    <t>TGHU6296200</t>
  </si>
  <si>
    <t>GAOU7032762</t>
  </si>
  <si>
    <t>TRHU6115937</t>
  </si>
  <si>
    <t>FCIU9096699</t>
  </si>
  <si>
    <t>ECMU5066409</t>
  </si>
  <si>
    <t>CMAU9750551</t>
  </si>
  <si>
    <t>FSCU8325402</t>
  </si>
  <si>
    <t>ECMU7325160</t>
  </si>
  <si>
    <t>UETU5683072</t>
  </si>
  <si>
    <t>CMAU4651643</t>
  </si>
  <si>
    <t>CMAU3464355</t>
  </si>
  <si>
    <t>ECMU7198338</t>
  </si>
  <si>
    <t>FFAU4343206</t>
  </si>
  <si>
    <t>BEAU4570673</t>
  </si>
  <si>
    <t>UETU8819497</t>
  </si>
  <si>
    <t>TCNU3793460</t>
  </si>
  <si>
    <t>TLLU4330624</t>
  </si>
  <si>
    <t>BEAU4737267</t>
  </si>
  <si>
    <t>ECMU7185639</t>
  </si>
  <si>
    <t>UETU8395505</t>
  </si>
  <si>
    <t>APHU6860747</t>
  </si>
  <si>
    <t>TIIU7364992</t>
  </si>
  <si>
    <t>CMAU6687270</t>
  </si>
  <si>
    <t>SEGU5563182</t>
  </si>
  <si>
    <t>FCIU9956511</t>
  </si>
  <si>
    <t>UETU7362003</t>
  </si>
  <si>
    <t>TIIU4338027</t>
  </si>
  <si>
    <t>ECMU6131350</t>
  </si>
  <si>
    <t>HPCU4368887</t>
  </si>
  <si>
    <t>FCIU7262580</t>
  </si>
  <si>
    <t>ECMU4980256</t>
  </si>
  <si>
    <t>CAIU7965584</t>
  </si>
  <si>
    <t>ECMU6235210</t>
  </si>
  <si>
    <t>BEAU6113758</t>
  </si>
  <si>
    <t>ECMU7073270</t>
  </si>
  <si>
    <t>SELU4481348</t>
  </si>
  <si>
    <t>CMAU8613960</t>
  </si>
  <si>
    <t>CMAU4344879</t>
  </si>
  <si>
    <t>XHCU5071888</t>
  </si>
  <si>
    <t>TLLU4231766</t>
  </si>
  <si>
    <t>UETU9020294</t>
  </si>
  <si>
    <t>TGCU5554848</t>
  </si>
  <si>
    <t>BEAU4088595</t>
  </si>
  <si>
    <t>TLLU8610095</t>
  </si>
  <si>
    <t>CMAU5866230</t>
  </si>
  <si>
    <t>TCLU5133010</t>
  </si>
  <si>
    <t>TCNU1164690</t>
  </si>
  <si>
    <t>ECMU6107776</t>
  </si>
  <si>
    <t>ECMU6118997</t>
  </si>
  <si>
    <t>TCNU1215518</t>
  </si>
  <si>
    <t>ECMU6145462</t>
  </si>
  <si>
    <t>TGBU5240247</t>
  </si>
  <si>
    <t>GESU6347373</t>
  </si>
  <si>
    <t>ECMU6108469</t>
  </si>
  <si>
    <t>TRHU7685847</t>
  </si>
  <si>
    <t>BEAU5161900</t>
  </si>
  <si>
    <t>ECMU6110450</t>
  </si>
  <si>
    <t>SEKU5631614</t>
  </si>
  <si>
    <t>CBHU8922988</t>
  </si>
  <si>
    <t>ECMU5600010</t>
  </si>
  <si>
    <t>TLLU6835976</t>
  </si>
  <si>
    <t>SEKU5678890</t>
  </si>
  <si>
    <t>BEAU4595970</t>
  </si>
  <si>
    <t>TCNU3552586</t>
  </si>
  <si>
    <t>ECMU5125219</t>
  </si>
  <si>
    <t>HPCU4342286</t>
  </si>
  <si>
    <t>TRHU4931124</t>
  </si>
  <si>
    <t>SEGU5368925</t>
  </si>
  <si>
    <t>FFAU1100141</t>
  </si>
  <si>
    <t>CMAU8577950</t>
  </si>
  <si>
    <t>TLLU5100523</t>
  </si>
  <si>
    <t>CAAU7094567</t>
  </si>
  <si>
    <t>UETU8608323</t>
  </si>
  <si>
    <t>UETU8439938</t>
  </si>
  <si>
    <t>ECMU4878075</t>
  </si>
  <si>
    <t>TIIU7050712</t>
  </si>
  <si>
    <t>2722766</t>
  </si>
  <si>
    <t>2723894</t>
  </si>
  <si>
    <t>2724047</t>
  </si>
  <si>
    <t>2723411</t>
  </si>
  <si>
    <t>2722610</t>
  </si>
  <si>
    <t>2724265</t>
  </si>
  <si>
    <t>2724254</t>
  </si>
  <si>
    <t>2722755</t>
  </si>
  <si>
    <t>2724066</t>
  </si>
  <si>
    <t>2723246</t>
  </si>
  <si>
    <t>2723469</t>
  </si>
  <si>
    <t>2721581</t>
  </si>
  <si>
    <t>MSC</t>
  </si>
  <si>
    <t>KMD</t>
  </si>
  <si>
    <t>ALC</t>
  </si>
  <si>
    <t>Train No. CWC L-10 MDCC to MATP Dep Date 03.09.2026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</si>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</sst>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6"/>
      <color indexed="8"/>
      <name val="SansSerif"/>
    </font>
    <font>
      <sz val="10"/>
      <name val="Arial"/>
      <family val="2"/>
    </font>
    <font>
      <sz val="16"/>
      <color theme="1"/>
      <name val="SansSERIF"/>
    </font>
    <font>
      <b/>
      <sz val="16"/>
      <color theme="1"/>
      <name val="SansSERIF"/>
    </font>
    <font>
      <sz val="18"/>
      <color indexed="8"/>
      <name val="SansSerif"/>
    </font>
    <font>
      <sz val="20"/>
      <color indexed="8"/>
      <name val="SansSerif"/>
    </font>
    <font>
      <sz val="18"/>
      <color theme="1"/>
      <name val="SansSerif"/>
    </font>
    <font>
      <sz val="17"/>
      <color indexed="8"/>
      <name val="SansSerif"/>
    </font>
    <font>
      <b/>
      <sz val="22"/>
      <color theme="1"/>
      <name val="Calibri"/>
      <family val="2"/>
      <scheme val="minor"/>
    </font>
    <font>
      <sz val="20"/>
      <color theme="1"/>
      <name val="SansSerif"/>
    </font>
    <font>
      <b/>
      <sz val="20"/>
      <color theme="1"/>
      <name val="SansSerif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2" fontId="5" fillId="2" borderId="2" xfId="0" applyNumberFormat="1" applyFont="1" applyFill="1" applyBorder="1" applyAlignment="1">
      <alignment horizontal="center" vertical="center" wrapText="1"/>
    </xf>
    <xf numFmtId="2" fontId="7" fillId="0" borderId="2" xfId="0" applyNumberFormat="1" applyFont="1" applyBorder="1" applyAlignment="1">
      <alignment horizontal="center" vertical="center"/>
    </xf>
    <xf numFmtId="2" fontId="7" fillId="3" borderId="2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10" fillId="0" borderId="9" xfId="0" applyFont="1" applyBorder="1"/>
    <xf numFmtId="0" fontId="10" fillId="0" borderId="10" xfId="0" applyFont="1" applyBorder="1"/>
    <xf numFmtId="0" fontId="11" fillId="0" borderId="10" xfId="0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0" fontId="10" fillId="0" borderId="11" xfId="0" applyFont="1" applyBorder="1"/>
    <xf numFmtId="0" fontId="3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2" fontId="5" fillId="2" borderId="14" xfId="0" applyNumberFormat="1" applyFont="1" applyFill="1" applyBorder="1" applyAlignment="1">
      <alignment horizontal="center" vertical="center" wrapText="1"/>
    </xf>
    <xf numFmtId="2" fontId="7" fillId="0" borderId="14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11" fillId="0" borderId="10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90"/>
  <sheetViews>
    <sheetView tabSelected="1" topLeftCell="A82" zoomScale="51" zoomScaleNormal="98" workbookViewId="0">
      <selection activeCell="J108" sqref="J108"/>
    </sheetView>
  </sheetViews>
  <sheetFormatPr defaultRowHeight="14.4"/>
  <cols>
    <col min="2" max="2" width="12.5546875" bestFit="1" customWidth="1"/>
    <col min="3" max="3" width="46.88671875" customWidth="1"/>
    <col min="4" max="4" width="47.5546875" customWidth="1"/>
    <col min="5" max="5" width="12.88671875" bestFit="1" customWidth="1"/>
    <col min="6" max="6" width="16.88671875" customWidth="1"/>
    <col min="7" max="7" width="14" customWidth="1"/>
    <col min="8" max="8" width="24.33203125" bestFit="1" customWidth="1"/>
    <col min="10" max="10" width="21.5546875" customWidth="1"/>
    <col min="11" max="11" width="24.77734375" bestFit="1" customWidth="1"/>
    <col min="12" max="12" width="19.33203125" customWidth="1"/>
    <col min="13" max="13" width="20.33203125" customWidth="1"/>
    <col min="14" max="14" width="22.6640625" customWidth="1"/>
    <col min="15" max="15" width="21.88671875" customWidth="1"/>
    <col min="16" max="16" width="18.44140625" customWidth="1"/>
    <col min="17" max="17" width="19.6640625" customWidth="1"/>
    <col min="22" max="22" width="15.5546875" customWidth="1"/>
  </cols>
  <sheetData>
    <row r="2" spans="2:17" ht="15" thickBot="1"/>
    <row r="3" spans="2:17" ht="28.8">
      <c r="B3" s="27" t="s">
        <v>172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9"/>
    </row>
    <row r="4" spans="2:17" ht="29.4" thickBot="1">
      <c r="B4" s="30" t="s">
        <v>20</v>
      </c>
      <c r="C4" s="31"/>
      <c r="D4" s="31"/>
      <c r="E4" s="31"/>
      <c r="F4" s="31"/>
      <c r="G4" s="31"/>
      <c r="H4" s="31"/>
      <c r="I4" s="31"/>
      <c r="J4" s="31"/>
      <c r="K4" s="31" t="s">
        <v>24</v>
      </c>
      <c r="L4" s="31"/>
      <c r="M4" s="31"/>
      <c r="N4" s="31"/>
      <c r="O4" s="31"/>
      <c r="P4" s="31"/>
      <c r="Q4" s="32"/>
    </row>
    <row r="5" spans="2:17" ht="41.4" thickBot="1">
      <c r="B5" s="21" t="s">
        <v>0</v>
      </c>
      <c r="C5" s="19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4" t="s">
        <v>6</v>
      </c>
      <c r="I5" s="4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3" t="s">
        <v>12</v>
      </c>
      <c r="O5" s="3" t="s">
        <v>13</v>
      </c>
      <c r="P5" s="5" t="s">
        <v>14</v>
      </c>
      <c r="Q5" s="6" t="s">
        <v>15</v>
      </c>
    </row>
    <row r="6" spans="2:17" ht="52.8" customHeight="1">
      <c r="B6" s="20">
        <v>1</v>
      </c>
      <c r="C6" s="8" t="s">
        <v>26</v>
      </c>
      <c r="D6" s="8" t="s">
        <v>73</v>
      </c>
      <c r="E6" s="2" t="s">
        <v>44</v>
      </c>
      <c r="F6" s="2" t="s">
        <v>157</v>
      </c>
      <c r="G6" s="2" t="s">
        <v>21</v>
      </c>
      <c r="H6" s="1" t="s">
        <v>16</v>
      </c>
      <c r="I6" s="1" t="s">
        <v>17</v>
      </c>
      <c r="J6" s="1" t="s">
        <v>23</v>
      </c>
      <c r="K6" s="1" t="s">
        <v>18</v>
      </c>
      <c r="L6" s="1" t="s">
        <v>19</v>
      </c>
      <c r="M6" s="2">
        <v>3.8</v>
      </c>
      <c r="N6" s="9">
        <f t="shared" ref="N6:N37" si="0">O6-M6</f>
        <v>25.66</v>
      </c>
      <c r="O6" s="10">
        <v>29.46</v>
      </c>
      <c r="P6" s="12" t="s">
        <v>25</v>
      </c>
      <c r="Q6" s="13">
        <v>98051000</v>
      </c>
    </row>
    <row r="7" spans="2:17" ht="52.8" customHeight="1">
      <c r="B7" s="7">
        <v>2</v>
      </c>
      <c r="C7" s="8" t="s">
        <v>26</v>
      </c>
      <c r="D7" s="8" t="s">
        <v>74</v>
      </c>
      <c r="E7" s="2" t="s">
        <v>44</v>
      </c>
      <c r="F7" s="2" t="s">
        <v>157</v>
      </c>
      <c r="G7" s="2" t="s">
        <v>22</v>
      </c>
      <c r="H7" s="1" t="s">
        <v>16</v>
      </c>
      <c r="I7" s="1" t="s">
        <v>17</v>
      </c>
      <c r="J7" s="1" t="s">
        <v>23</v>
      </c>
      <c r="K7" s="1" t="s">
        <v>18</v>
      </c>
      <c r="L7" s="1" t="s">
        <v>19</v>
      </c>
      <c r="M7" s="2">
        <v>3.8</v>
      </c>
      <c r="N7" s="9">
        <f t="shared" si="0"/>
        <v>24.83</v>
      </c>
      <c r="O7" s="10">
        <v>28.63</v>
      </c>
      <c r="P7" s="12" t="s">
        <v>25</v>
      </c>
      <c r="Q7" s="13">
        <v>98051000</v>
      </c>
    </row>
    <row r="8" spans="2:17" ht="52.8" customHeight="1">
      <c r="B8" s="7">
        <v>3</v>
      </c>
      <c r="C8" s="8" t="s">
        <v>27</v>
      </c>
      <c r="D8" s="8" t="s">
        <v>75</v>
      </c>
      <c r="E8" s="2" t="s">
        <v>44</v>
      </c>
      <c r="F8" s="2" t="s">
        <v>157</v>
      </c>
      <c r="G8" s="2" t="s">
        <v>21</v>
      </c>
      <c r="H8" s="1" t="s">
        <v>16</v>
      </c>
      <c r="I8" s="1" t="s">
        <v>17</v>
      </c>
      <c r="J8" s="1" t="s">
        <v>23</v>
      </c>
      <c r="K8" s="1" t="s">
        <v>18</v>
      </c>
      <c r="L8" s="1" t="s">
        <v>19</v>
      </c>
      <c r="M8" s="2">
        <v>3.8</v>
      </c>
      <c r="N8" s="9">
        <f t="shared" si="0"/>
        <v>27</v>
      </c>
      <c r="O8" s="10">
        <v>30.8</v>
      </c>
      <c r="P8" s="12" t="s">
        <v>25</v>
      </c>
      <c r="Q8" s="13">
        <v>98051000</v>
      </c>
    </row>
    <row r="9" spans="2:17" ht="52.8" customHeight="1">
      <c r="B9" s="7">
        <v>4</v>
      </c>
      <c r="C9" s="8" t="s">
        <v>27</v>
      </c>
      <c r="D9" s="8" t="s">
        <v>76</v>
      </c>
      <c r="E9" s="2" t="s">
        <v>44</v>
      </c>
      <c r="F9" s="2" t="s">
        <v>157</v>
      </c>
      <c r="G9" s="2" t="s">
        <v>22</v>
      </c>
      <c r="H9" s="1" t="s">
        <v>16</v>
      </c>
      <c r="I9" s="1" t="s">
        <v>17</v>
      </c>
      <c r="J9" s="1" t="s">
        <v>23</v>
      </c>
      <c r="K9" s="1" t="s">
        <v>18</v>
      </c>
      <c r="L9" s="1" t="s">
        <v>19</v>
      </c>
      <c r="M9" s="2">
        <v>3.8</v>
      </c>
      <c r="N9" s="9">
        <f t="shared" si="0"/>
        <v>25.87</v>
      </c>
      <c r="O9" s="10">
        <v>29.67</v>
      </c>
      <c r="P9" s="12" t="s">
        <v>25</v>
      </c>
      <c r="Q9" s="13">
        <v>98051000</v>
      </c>
    </row>
    <row r="10" spans="2:17" ht="52.8" customHeight="1">
      <c r="B10" s="7">
        <v>5</v>
      </c>
      <c r="C10" s="8" t="s">
        <v>28</v>
      </c>
      <c r="D10" s="8" t="s">
        <v>77</v>
      </c>
      <c r="E10" s="2" t="s">
        <v>45</v>
      </c>
      <c r="F10" s="2" t="s">
        <v>158</v>
      </c>
      <c r="G10" s="2" t="s">
        <v>21</v>
      </c>
      <c r="H10" s="1" t="s">
        <v>16</v>
      </c>
      <c r="I10" s="1" t="s">
        <v>17</v>
      </c>
      <c r="J10" s="1" t="s">
        <v>169</v>
      </c>
      <c r="K10" s="1" t="s">
        <v>18</v>
      </c>
      <c r="L10" s="1" t="s">
        <v>19</v>
      </c>
      <c r="M10" s="2">
        <v>2.5</v>
      </c>
      <c r="N10" s="9">
        <f t="shared" si="0"/>
        <v>10.58</v>
      </c>
      <c r="O10" s="10">
        <v>13.08</v>
      </c>
      <c r="P10" s="12" t="s">
        <v>25</v>
      </c>
      <c r="Q10" s="13">
        <v>98051000</v>
      </c>
    </row>
    <row r="11" spans="2:17" ht="52.8" customHeight="1">
      <c r="B11" s="7">
        <v>6</v>
      </c>
      <c r="C11" s="8" t="s">
        <v>28</v>
      </c>
      <c r="D11" s="8" t="s">
        <v>78</v>
      </c>
      <c r="E11" s="2" t="s">
        <v>45</v>
      </c>
      <c r="F11" s="2" t="s">
        <v>159</v>
      </c>
      <c r="G11" s="2" t="s">
        <v>21</v>
      </c>
      <c r="H11" s="1" t="s">
        <v>16</v>
      </c>
      <c r="I11" s="1" t="s">
        <v>17</v>
      </c>
      <c r="J11" s="1" t="s">
        <v>169</v>
      </c>
      <c r="K11" s="1" t="s">
        <v>18</v>
      </c>
      <c r="L11" s="1" t="s">
        <v>19</v>
      </c>
      <c r="M11" s="2">
        <v>2.5</v>
      </c>
      <c r="N11" s="9">
        <f t="shared" si="0"/>
        <v>12.61</v>
      </c>
      <c r="O11" s="10">
        <v>15.11</v>
      </c>
      <c r="P11" s="12" t="s">
        <v>25</v>
      </c>
      <c r="Q11" s="13">
        <v>98051000</v>
      </c>
    </row>
    <row r="12" spans="2:17" ht="52.8" customHeight="1">
      <c r="B12" s="7">
        <v>7</v>
      </c>
      <c r="C12" s="8" t="s">
        <v>29</v>
      </c>
      <c r="D12" s="8" t="s">
        <v>79</v>
      </c>
      <c r="E12" s="2" t="s">
        <v>45</v>
      </c>
      <c r="F12" s="2" t="s">
        <v>160</v>
      </c>
      <c r="G12" s="2" t="s">
        <v>21</v>
      </c>
      <c r="H12" s="1" t="s">
        <v>16</v>
      </c>
      <c r="I12" s="1" t="s">
        <v>17</v>
      </c>
      <c r="J12" s="1" t="s">
        <v>23</v>
      </c>
      <c r="K12" s="1" t="s">
        <v>18</v>
      </c>
      <c r="L12" s="1" t="s">
        <v>19</v>
      </c>
      <c r="M12" s="2">
        <v>2.5</v>
      </c>
      <c r="N12" s="9">
        <f t="shared" si="0"/>
        <v>2.9800000000000004</v>
      </c>
      <c r="O12" s="10">
        <v>5.48</v>
      </c>
      <c r="P12" s="12" t="s">
        <v>25</v>
      </c>
      <c r="Q12" s="13">
        <v>98051000</v>
      </c>
    </row>
    <row r="13" spans="2:17" ht="52.8" customHeight="1">
      <c r="B13" s="7">
        <v>8</v>
      </c>
      <c r="C13" s="8" t="s">
        <v>29</v>
      </c>
      <c r="D13" s="8" t="s">
        <v>80</v>
      </c>
      <c r="E13" s="2" t="s">
        <v>45</v>
      </c>
      <c r="F13" s="2" t="s">
        <v>161</v>
      </c>
      <c r="G13" s="2" t="s">
        <v>21</v>
      </c>
      <c r="H13" s="1" t="s">
        <v>16</v>
      </c>
      <c r="I13" s="1" t="s">
        <v>17</v>
      </c>
      <c r="J13" s="1" t="s">
        <v>169</v>
      </c>
      <c r="K13" s="1" t="s">
        <v>18</v>
      </c>
      <c r="L13" s="1" t="s">
        <v>19</v>
      </c>
      <c r="M13" s="2">
        <v>2.5</v>
      </c>
      <c r="N13" s="9">
        <f t="shared" si="0"/>
        <v>4.6500000000000004</v>
      </c>
      <c r="O13" s="10">
        <v>7.15</v>
      </c>
      <c r="P13" s="12" t="s">
        <v>25</v>
      </c>
      <c r="Q13" s="13">
        <v>98051000</v>
      </c>
    </row>
    <row r="14" spans="2:17" ht="52.8" customHeight="1">
      <c r="B14" s="7">
        <v>9</v>
      </c>
      <c r="C14" s="8" t="s">
        <v>30</v>
      </c>
      <c r="D14" s="8" t="s">
        <v>81</v>
      </c>
      <c r="E14" s="2" t="s">
        <v>44</v>
      </c>
      <c r="F14" s="2" t="s">
        <v>162</v>
      </c>
      <c r="G14" s="2" t="s">
        <v>21</v>
      </c>
      <c r="H14" s="1" t="s">
        <v>16</v>
      </c>
      <c r="I14" s="1" t="s">
        <v>17</v>
      </c>
      <c r="J14" s="1" t="s">
        <v>23</v>
      </c>
      <c r="K14" s="1" t="s">
        <v>18</v>
      </c>
      <c r="L14" s="1" t="s">
        <v>19</v>
      </c>
      <c r="M14" s="2">
        <v>3.8</v>
      </c>
      <c r="N14" s="9">
        <f t="shared" si="0"/>
        <v>15.419999999999998</v>
      </c>
      <c r="O14" s="10">
        <v>19.22</v>
      </c>
      <c r="P14" s="12" t="s">
        <v>25</v>
      </c>
      <c r="Q14" s="13">
        <v>98051000</v>
      </c>
    </row>
    <row r="15" spans="2:17" ht="52.8" customHeight="1">
      <c r="B15" s="7">
        <v>10</v>
      </c>
      <c r="C15" s="8" t="s">
        <v>30</v>
      </c>
      <c r="D15" s="8" t="s">
        <v>82</v>
      </c>
      <c r="E15" s="2" t="s">
        <v>44</v>
      </c>
      <c r="F15" s="2" t="s">
        <v>163</v>
      </c>
      <c r="G15" s="2" t="s">
        <v>22</v>
      </c>
      <c r="H15" s="1" t="s">
        <v>16</v>
      </c>
      <c r="I15" s="1" t="s">
        <v>17</v>
      </c>
      <c r="J15" s="1" t="s">
        <v>23</v>
      </c>
      <c r="K15" s="1" t="s">
        <v>18</v>
      </c>
      <c r="L15" s="1" t="s">
        <v>19</v>
      </c>
      <c r="M15" s="2">
        <v>3.8</v>
      </c>
      <c r="N15" s="9">
        <f t="shared" si="0"/>
        <v>15.219999999999999</v>
      </c>
      <c r="O15" s="10">
        <v>19.02</v>
      </c>
      <c r="P15" s="12" t="s">
        <v>25</v>
      </c>
      <c r="Q15" s="13">
        <v>98051000</v>
      </c>
    </row>
    <row r="16" spans="2:17" ht="52.8" customHeight="1">
      <c r="B16" s="7">
        <v>11</v>
      </c>
      <c r="C16" s="8" t="s">
        <v>31</v>
      </c>
      <c r="D16" s="8" t="s">
        <v>83</v>
      </c>
      <c r="E16" s="2" t="s">
        <v>44</v>
      </c>
      <c r="F16" s="2" t="s">
        <v>157</v>
      </c>
      <c r="G16" s="2" t="s">
        <v>21</v>
      </c>
      <c r="H16" s="1" t="s">
        <v>16</v>
      </c>
      <c r="I16" s="1" t="s">
        <v>17</v>
      </c>
      <c r="J16" s="1" t="s">
        <v>23</v>
      </c>
      <c r="K16" s="1" t="s">
        <v>18</v>
      </c>
      <c r="L16" s="1" t="s">
        <v>19</v>
      </c>
      <c r="M16" s="2">
        <v>3.8</v>
      </c>
      <c r="N16" s="9">
        <f t="shared" si="0"/>
        <v>26.87</v>
      </c>
      <c r="O16" s="11">
        <v>30.67</v>
      </c>
      <c r="P16" s="12" t="s">
        <v>25</v>
      </c>
      <c r="Q16" s="13">
        <v>98051000</v>
      </c>
    </row>
    <row r="17" spans="2:17" ht="52.8" customHeight="1">
      <c r="B17" s="7">
        <v>12</v>
      </c>
      <c r="C17" s="8" t="s">
        <v>32</v>
      </c>
      <c r="D17" s="8" t="s">
        <v>84</v>
      </c>
      <c r="E17" s="2" t="s">
        <v>44</v>
      </c>
      <c r="F17" s="2" t="s">
        <v>164</v>
      </c>
      <c r="G17" s="2" t="s">
        <v>21</v>
      </c>
      <c r="H17" s="1" t="s">
        <v>16</v>
      </c>
      <c r="I17" s="1" t="s">
        <v>17</v>
      </c>
      <c r="J17" s="1" t="s">
        <v>23</v>
      </c>
      <c r="K17" s="1" t="s">
        <v>18</v>
      </c>
      <c r="L17" s="1" t="s">
        <v>19</v>
      </c>
      <c r="M17" s="2">
        <v>3.83</v>
      </c>
      <c r="N17" s="9">
        <f t="shared" si="0"/>
        <v>27.32</v>
      </c>
      <c r="O17" s="11">
        <v>31.15</v>
      </c>
      <c r="P17" s="12" t="s">
        <v>25</v>
      </c>
      <c r="Q17" s="13">
        <v>98051000</v>
      </c>
    </row>
    <row r="18" spans="2:17" ht="52.8" customHeight="1">
      <c r="B18" s="7">
        <v>13</v>
      </c>
      <c r="C18" s="8" t="s">
        <v>33</v>
      </c>
      <c r="D18" s="8" t="s">
        <v>85</v>
      </c>
      <c r="E18" s="2" t="s">
        <v>44</v>
      </c>
      <c r="F18" s="2" t="s">
        <v>157</v>
      </c>
      <c r="G18" s="2" t="s">
        <v>21</v>
      </c>
      <c r="H18" s="1" t="s">
        <v>16</v>
      </c>
      <c r="I18" s="1" t="s">
        <v>17</v>
      </c>
      <c r="J18" s="1" t="s">
        <v>23</v>
      </c>
      <c r="K18" s="1" t="s">
        <v>18</v>
      </c>
      <c r="L18" s="1" t="s">
        <v>19</v>
      </c>
      <c r="M18" s="2">
        <v>3.8</v>
      </c>
      <c r="N18" s="9">
        <f t="shared" si="0"/>
        <v>23.98</v>
      </c>
      <c r="O18" s="10">
        <v>27.78</v>
      </c>
      <c r="P18" s="12" t="s">
        <v>25</v>
      </c>
      <c r="Q18" s="13">
        <v>98051000</v>
      </c>
    </row>
    <row r="19" spans="2:17" ht="52.8" customHeight="1">
      <c r="B19" s="7">
        <v>14</v>
      </c>
      <c r="C19" s="8" t="s">
        <v>33</v>
      </c>
      <c r="D19" s="8" t="s">
        <v>86</v>
      </c>
      <c r="E19" s="2" t="s">
        <v>44</v>
      </c>
      <c r="F19" s="2" t="s">
        <v>163</v>
      </c>
      <c r="G19" s="2" t="s">
        <v>22</v>
      </c>
      <c r="H19" s="1" t="s">
        <v>16</v>
      </c>
      <c r="I19" s="1" t="s">
        <v>17</v>
      </c>
      <c r="J19" s="1" t="s">
        <v>23</v>
      </c>
      <c r="K19" s="1" t="s">
        <v>18</v>
      </c>
      <c r="L19" s="1" t="s">
        <v>19</v>
      </c>
      <c r="M19" s="2">
        <v>3.83</v>
      </c>
      <c r="N19" s="9">
        <f t="shared" si="0"/>
        <v>23.54</v>
      </c>
      <c r="O19" s="10">
        <v>27.37</v>
      </c>
      <c r="P19" s="12" t="s">
        <v>25</v>
      </c>
      <c r="Q19" s="13">
        <v>98051000</v>
      </c>
    </row>
    <row r="20" spans="2:17" ht="52.8" customHeight="1">
      <c r="B20" s="7">
        <v>15</v>
      </c>
      <c r="C20" s="8" t="s">
        <v>34</v>
      </c>
      <c r="D20" s="8" t="s">
        <v>87</v>
      </c>
      <c r="E20" s="2" t="s">
        <v>44</v>
      </c>
      <c r="F20" s="2" t="s">
        <v>163</v>
      </c>
      <c r="G20" s="2" t="s">
        <v>21</v>
      </c>
      <c r="H20" s="1" t="s">
        <v>16</v>
      </c>
      <c r="I20" s="1" t="s">
        <v>17</v>
      </c>
      <c r="J20" s="1" t="s">
        <v>23</v>
      </c>
      <c r="K20" s="1" t="s">
        <v>18</v>
      </c>
      <c r="L20" s="1" t="s">
        <v>19</v>
      </c>
      <c r="M20" s="2">
        <v>3.8</v>
      </c>
      <c r="N20" s="9">
        <f t="shared" si="0"/>
        <v>24.25</v>
      </c>
      <c r="O20" s="10">
        <v>28.05</v>
      </c>
      <c r="P20" s="12" t="s">
        <v>25</v>
      </c>
      <c r="Q20" s="13">
        <v>98051000</v>
      </c>
    </row>
    <row r="21" spans="2:17" ht="52.8" customHeight="1">
      <c r="B21" s="7">
        <v>16</v>
      </c>
      <c r="C21" s="8" t="s">
        <v>34</v>
      </c>
      <c r="D21" s="8" t="s">
        <v>88</v>
      </c>
      <c r="E21" s="2" t="s">
        <v>44</v>
      </c>
      <c r="F21" s="2" t="s">
        <v>163</v>
      </c>
      <c r="G21" s="2" t="s">
        <v>22</v>
      </c>
      <c r="H21" s="1" t="s">
        <v>16</v>
      </c>
      <c r="I21" s="1" t="s">
        <v>17</v>
      </c>
      <c r="J21" s="1" t="s">
        <v>23</v>
      </c>
      <c r="K21" s="1" t="s">
        <v>18</v>
      </c>
      <c r="L21" s="1" t="s">
        <v>19</v>
      </c>
      <c r="M21" s="2">
        <v>3.8</v>
      </c>
      <c r="N21" s="9">
        <f t="shared" si="0"/>
        <v>14.43</v>
      </c>
      <c r="O21" s="10">
        <v>18.23</v>
      </c>
      <c r="P21" s="12" t="s">
        <v>25</v>
      </c>
      <c r="Q21" s="13">
        <v>98051000</v>
      </c>
    </row>
    <row r="22" spans="2:17" ht="52.8" customHeight="1">
      <c r="B22" s="7">
        <v>17</v>
      </c>
      <c r="C22" s="8" t="s">
        <v>35</v>
      </c>
      <c r="D22" s="8" t="s">
        <v>89</v>
      </c>
      <c r="E22" s="2" t="s">
        <v>44</v>
      </c>
      <c r="F22" s="2" t="s">
        <v>157</v>
      </c>
      <c r="G22" s="2" t="s">
        <v>21</v>
      </c>
      <c r="H22" s="1" t="s">
        <v>16</v>
      </c>
      <c r="I22" s="1" t="s">
        <v>17</v>
      </c>
      <c r="J22" s="1" t="s">
        <v>23</v>
      </c>
      <c r="K22" s="1" t="s">
        <v>18</v>
      </c>
      <c r="L22" s="1" t="s">
        <v>19</v>
      </c>
      <c r="M22" s="2">
        <v>3.8</v>
      </c>
      <c r="N22" s="9">
        <f t="shared" si="0"/>
        <v>21.82</v>
      </c>
      <c r="O22" s="10">
        <v>25.62</v>
      </c>
      <c r="P22" s="12" t="s">
        <v>25</v>
      </c>
      <c r="Q22" s="13">
        <v>98051000</v>
      </c>
    </row>
    <row r="23" spans="2:17" ht="52.8" customHeight="1">
      <c r="B23" s="7">
        <v>18</v>
      </c>
      <c r="C23" s="8" t="s">
        <v>35</v>
      </c>
      <c r="D23" s="8" t="s">
        <v>90</v>
      </c>
      <c r="E23" s="2" t="s">
        <v>44</v>
      </c>
      <c r="F23" s="2" t="s">
        <v>163</v>
      </c>
      <c r="G23" s="2" t="s">
        <v>22</v>
      </c>
      <c r="H23" s="1" t="s">
        <v>16</v>
      </c>
      <c r="I23" s="1" t="s">
        <v>17</v>
      </c>
      <c r="J23" s="1" t="s">
        <v>23</v>
      </c>
      <c r="K23" s="1" t="s">
        <v>18</v>
      </c>
      <c r="L23" s="1" t="s">
        <v>19</v>
      </c>
      <c r="M23" s="2">
        <v>3.83</v>
      </c>
      <c r="N23" s="9">
        <f t="shared" si="0"/>
        <v>21.229999999999997</v>
      </c>
      <c r="O23" s="10">
        <v>25.06</v>
      </c>
      <c r="P23" s="12" t="s">
        <v>25</v>
      </c>
      <c r="Q23" s="13">
        <v>98051000</v>
      </c>
    </row>
    <row r="24" spans="2:17" ht="52.8" customHeight="1">
      <c r="B24" s="7">
        <v>19</v>
      </c>
      <c r="C24" s="8" t="s">
        <v>36</v>
      </c>
      <c r="D24" s="8" t="s">
        <v>91</v>
      </c>
      <c r="E24" s="2" t="s">
        <v>44</v>
      </c>
      <c r="F24" s="2" t="s">
        <v>157</v>
      </c>
      <c r="G24" s="2" t="s">
        <v>21</v>
      </c>
      <c r="H24" s="1" t="s">
        <v>16</v>
      </c>
      <c r="I24" s="1" t="s">
        <v>17</v>
      </c>
      <c r="J24" s="1" t="s">
        <v>23</v>
      </c>
      <c r="K24" s="1" t="s">
        <v>18</v>
      </c>
      <c r="L24" s="1" t="s">
        <v>19</v>
      </c>
      <c r="M24" s="2">
        <v>3.8</v>
      </c>
      <c r="N24" s="9">
        <f t="shared" si="0"/>
        <v>25.61</v>
      </c>
      <c r="O24" s="10">
        <v>29.41</v>
      </c>
      <c r="P24" s="12" t="s">
        <v>25</v>
      </c>
      <c r="Q24" s="13">
        <v>98051000</v>
      </c>
    </row>
    <row r="25" spans="2:17" ht="42" customHeight="1">
      <c r="B25" s="7">
        <v>20</v>
      </c>
      <c r="C25" s="8" t="s">
        <v>36</v>
      </c>
      <c r="D25" s="8" t="s">
        <v>92</v>
      </c>
      <c r="E25" s="2" t="s">
        <v>44</v>
      </c>
      <c r="F25" s="2" t="s">
        <v>163</v>
      </c>
      <c r="G25" s="2" t="s">
        <v>22</v>
      </c>
      <c r="H25" s="1" t="s">
        <v>16</v>
      </c>
      <c r="I25" s="1" t="s">
        <v>17</v>
      </c>
      <c r="J25" s="1" t="s">
        <v>23</v>
      </c>
      <c r="K25" s="1" t="s">
        <v>18</v>
      </c>
      <c r="L25" s="1" t="s">
        <v>19</v>
      </c>
      <c r="M25" s="2">
        <v>3.8</v>
      </c>
      <c r="N25" s="9">
        <f t="shared" si="0"/>
        <v>16.399999999999999</v>
      </c>
      <c r="O25" s="10">
        <v>20.2</v>
      </c>
      <c r="P25" s="12" t="s">
        <v>25</v>
      </c>
      <c r="Q25" s="13">
        <v>98051000</v>
      </c>
    </row>
    <row r="26" spans="2:17" ht="52.8" customHeight="1">
      <c r="B26" s="7">
        <v>21</v>
      </c>
      <c r="C26" s="8" t="s">
        <v>37</v>
      </c>
      <c r="D26" s="8" t="s">
        <v>93</v>
      </c>
      <c r="E26" s="2" t="s">
        <v>44</v>
      </c>
      <c r="F26" s="2" t="s">
        <v>164</v>
      </c>
      <c r="G26" s="2" t="s">
        <v>21</v>
      </c>
      <c r="H26" s="1" t="s">
        <v>16</v>
      </c>
      <c r="I26" s="1" t="s">
        <v>17</v>
      </c>
      <c r="J26" s="1" t="s">
        <v>23</v>
      </c>
      <c r="K26" s="1" t="s">
        <v>18</v>
      </c>
      <c r="L26" s="1" t="s">
        <v>19</v>
      </c>
      <c r="M26" s="2">
        <v>3.83</v>
      </c>
      <c r="N26" s="9">
        <f t="shared" si="0"/>
        <v>26.82</v>
      </c>
      <c r="O26" s="10">
        <v>30.65</v>
      </c>
      <c r="P26" s="12" t="s">
        <v>25</v>
      </c>
      <c r="Q26" s="13">
        <v>98051000</v>
      </c>
    </row>
    <row r="27" spans="2:17" ht="52.8" customHeight="1">
      <c r="B27" s="7">
        <v>22</v>
      </c>
      <c r="C27" s="8" t="s">
        <v>38</v>
      </c>
      <c r="D27" s="8" t="s">
        <v>94</v>
      </c>
      <c r="E27" s="2" t="s">
        <v>44</v>
      </c>
      <c r="F27" s="2" t="s">
        <v>164</v>
      </c>
      <c r="G27" s="2" t="s">
        <v>21</v>
      </c>
      <c r="H27" s="1" t="s">
        <v>16</v>
      </c>
      <c r="I27" s="1" t="s">
        <v>17</v>
      </c>
      <c r="J27" s="1" t="s">
        <v>23</v>
      </c>
      <c r="K27" s="1" t="s">
        <v>18</v>
      </c>
      <c r="L27" s="1" t="s">
        <v>19</v>
      </c>
      <c r="M27" s="2">
        <v>3.83</v>
      </c>
      <c r="N27" s="9">
        <f t="shared" si="0"/>
        <v>26.07</v>
      </c>
      <c r="O27" s="10">
        <v>29.9</v>
      </c>
      <c r="P27" s="12" t="s">
        <v>25</v>
      </c>
      <c r="Q27" s="13">
        <v>98051000</v>
      </c>
    </row>
    <row r="28" spans="2:17" ht="52.8" customHeight="1">
      <c r="B28" s="7">
        <v>23</v>
      </c>
      <c r="C28" s="8" t="s">
        <v>38</v>
      </c>
      <c r="D28" s="8" t="s">
        <v>95</v>
      </c>
      <c r="E28" s="2" t="s">
        <v>44</v>
      </c>
      <c r="F28" s="2" t="s">
        <v>162</v>
      </c>
      <c r="G28" s="2" t="s">
        <v>22</v>
      </c>
      <c r="H28" s="1" t="s">
        <v>16</v>
      </c>
      <c r="I28" s="1" t="s">
        <v>17</v>
      </c>
      <c r="J28" s="1" t="s">
        <v>23</v>
      </c>
      <c r="K28" s="1" t="s">
        <v>18</v>
      </c>
      <c r="L28" s="1" t="s">
        <v>19</v>
      </c>
      <c r="M28" s="2">
        <v>3.8</v>
      </c>
      <c r="N28" s="9">
        <f t="shared" si="0"/>
        <v>12.469999999999999</v>
      </c>
      <c r="O28" s="10">
        <v>16.27</v>
      </c>
      <c r="P28" s="12" t="s">
        <v>25</v>
      </c>
      <c r="Q28" s="13">
        <v>98051000</v>
      </c>
    </row>
    <row r="29" spans="2:17" ht="52.8" customHeight="1">
      <c r="B29" s="7">
        <v>24</v>
      </c>
      <c r="C29" s="8" t="s">
        <v>39</v>
      </c>
      <c r="D29" s="8" t="s">
        <v>96</v>
      </c>
      <c r="E29" s="2" t="s">
        <v>44</v>
      </c>
      <c r="F29" s="2" t="s">
        <v>164</v>
      </c>
      <c r="G29" s="2" t="s">
        <v>21</v>
      </c>
      <c r="H29" s="1" t="s">
        <v>16</v>
      </c>
      <c r="I29" s="1" t="s">
        <v>17</v>
      </c>
      <c r="J29" s="1" t="s">
        <v>23</v>
      </c>
      <c r="K29" s="1" t="s">
        <v>18</v>
      </c>
      <c r="L29" s="1" t="s">
        <v>19</v>
      </c>
      <c r="M29" s="2">
        <v>3.83</v>
      </c>
      <c r="N29" s="9">
        <f t="shared" si="0"/>
        <v>26.439999999999998</v>
      </c>
      <c r="O29" s="10">
        <v>30.27</v>
      </c>
      <c r="P29" s="12" t="s">
        <v>25</v>
      </c>
      <c r="Q29" s="13">
        <v>98051000</v>
      </c>
    </row>
    <row r="30" spans="2:17" ht="52.8" customHeight="1">
      <c r="B30" s="7">
        <v>25</v>
      </c>
      <c r="C30" s="8" t="s">
        <v>39</v>
      </c>
      <c r="D30" s="8" t="s">
        <v>97</v>
      </c>
      <c r="E30" s="2" t="s">
        <v>44</v>
      </c>
      <c r="F30" s="2" t="s">
        <v>163</v>
      </c>
      <c r="G30" s="2" t="s">
        <v>22</v>
      </c>
      <c r="H30" s="1" t="s">
        <v>16</v>
      </c>
      <c r="I30" s="1" t="s">
        <v>17</v>
      </c>
      <c r="J30" s="1" t="s">
        <v>23</v>
      </c>
      <c r="K30" s="1" t="s">
        <v>18</v>
      </c>
      <c r="L30" s="1" t="s">
        <v>19</v>
      </c>
      <c r="M30" s="2">
        <v>3.83</v>
      </c>
      <c r="N30" s="9">
        <f t="shared" si="0"/>
        <v>16.649999999999999</v>
      </c>
      <c r="O30" s="10">
        <v>20.48</v>
      </c>
      <c r="P30" s="12" t="s">
        <v>25</v>
      </c>
      <c r="Q30" s="13">
        <v>98051000</v>
      </c>
    </row>
    <row r="31" spans="2:17" ht="52.8" customHeight="1">
      <c r="B31" s="7">
        <v>26</v>
      </c>
      <c r="C31" s="8" t="s">
        <v>40</v>
      </c>
      <c r="D31" s="8" t="s">
        <v>98</v>
      </c>
      <c r="E31" s="2" t="s">
        <v>44</v>
      </c>
      <c r="F31" s="2" t="s">
        <v>162</v>
      </c>
      <c r="G31" s="2" t="s">
        <v>21</v>
      </c>
      <c r="H31" s="1" t="s">
        <v>16</v>
      </c>
      <c r="I31" s="1" t="s">
        <v>17</v>
      </c>
      <c r="J31" s="1" t="s">
        <v>23</v>
      </c>
      <c r="K31" s="1" t="s">
        <v>18</v>
      </c>
      <c r="L31" s="1" t="s">
        <v>19</v>
      </c>
      <c r="M31" s="2">
        <v>3.8</v>
      </c>
      <c r="N31" s="9">
        <f t="shared" si="0"/>
        <v>27.04</v>
      </c>
      <c r="O31" s="10">
        <v>30.84</v>
      </c>
      <c r="P31" s="12" t="s">
        <v>25</v>
      </c>
      <c r="Q31" s="13">
        <v>98051000</v>
      </c>
    </row>
    <row r="32" spans="2:17" ht="52.8" customHeight="1">
      <c r="B32" s="7">
        <v>27</v>
      </c>
      <c r="C32" s="8" t="s">
        <v>40</v>
      </c>
      <c r="D32" s="8" t="s">
        <v>99</v>
      </c>
      <c r="E32" s="2" t="s">
        <v>44</v>
      </c>
      <c r="F32" s="2" t="s">
        <v>165</v>
      </c>
      <c r="G32" s="2" t="s">
        <v>22</v>
      </c>
      <c r="H32" s="1" t="s">
        <v>16</v>
      </c>
      <c r="I32" s="1" t="s">
        <v>17</v>
      </c>
      <c r="J32" s="1" t="s">
        <v>23</v>
      </c>
      <c r="K32" s="1" t="s">
        <v>18</v>
      </c>
      <c r="L32" s="1" t="s">
        <v>19</v>
      </c>
      <c r="M32" s="2">
        <v>3.8</v>
      </c>
      <c r="N32" s="9">
        <f t="shared" si="0"/>
        <v>21.779999999999998</v>
      </c>
      <c r="O32" s="10">
        <v>25.58</v>
      </c>
      <c r="P32" s="12" t="s">
        <v>25</v>
      </c>
      <c r="Q32" s="13">
        <v>98051000</v>
      </c>
    </row>
    <row r="33" spans="2:17" ht="52.8" customHeight="1">
      <c r="B33" s="7">
        <v>28</v>
      </c>
      <c r="C33" s="8" t="s">
        <v>41</v>
      </c>
      <c r="D33" s="8" t="s">
        <v>100</v>
      </c>
      <c r="E33" s="2" t="s">
        <v>44</v>
      </c>
      <c r="F33" s="2" t="s">
        <v>162</v>
      </c>
      <c r="G33" s="2" t="s">
        <v>21</v>
      </c>
      <c r="H33" s="1" t="s">
        <v>16</v>
      </c>
      <c r="I33" s="1" t="s">
        <v>17</v>
      </c>
      <c r="J33" s="1" t="s">
        <v>23</v>
      </c>
      <c r="K33" s="1" t="s">
        <v>18</v>
      </c>
      <c r="L33" s="1" t="s">
        <v>19</v>
      </c>
      <c r="M33" s="2">
        <v>3.8</v>
      </c>
      <c r="N33" s="9">
        <f t="shared" si="0"/>
        <v>25.37</v>
      </c>
      <c r="O33" s="10">
        <v>29.17</v>
      </c>
      <c r="P33" s="12" t="s">
        <v>25</v>
      </c>
      <c r="Q33" s="13">
        <v>98051000</v>
      </c>
    </row>
    <row r="34" spans="2:17" ht="52.8" customHeight="1">
      <c r="B34" s="7">
        <v>29</v>
      </c>
      <c r="C34" s="8" t="s">
        <v>41</v>
      </c>
      <c r="D34" s="8" t="s">
        <v>101</v>
      </c>
      <c r="E34" s="2" t="s">
        <v>44</v>
      </c>
      <c r="F34" s="2" t="s">
        <v>163</v>
      </c>
      <c r="G34" s="2" t="s">
        <v>22</v>
      </c>
      <c r="H34" s="1" t="s">
        <v>16</v>
      </c>
      <c r="I34" s="1" t="s">
        <v>17</v>
      </c>
      <c r="J34" s="1" t="s">
        <v>23</v>
      </c>
      <c r="K34" s="1" t="s">
        <v>18</v>
      </c>
      <c r="L34" s="1" t="s">
        <v>19</v>
      </c>
      <c r="M34" s="2">
        <v>3.8</v>
      </c>
      <c r="N34" s="9">
        <f t="shared" si="0"/>
        <v>20.189999999999998</v>
      </c>
      <c r="O34" s="10">
        <v>23.99</v>
      </c>
      <c r="P34" s="12" t="s">
        <v>25</v>
      </c>
      <c r="Q34" s="13">
        <v>98051000</v>
      </c>
    </row>
    <row r="35" spans="2:17" ht="52.8" customHeight="1">
      <c r="B35" s="7">
        <v>30</v>
      </c>
      <c r="C35" s="8" t="s">
        <v>42</v>
      </c>
      <c r="D35" s="8" t="s">
        <v>102</v>
      </c>
      <c r="E35" s="2" t="s">
        <v>44</v>
      </c>
      <c r="F35" s="2" t="s">
        <v>162</v>
      </c>
      <c r="G35" s="2" t="s">
        <v>21</v>
      </c>
      <c r="H35" s="1" t="s">
        <v>16</v>
      </c>
      <c r="I35" s="1" t="s">
        <v>17</v>
      </c>
      <c r="J35" s="1" t="s">
        <v>23</v>
      </c>
      <c r="K35" s="1" t="s">
        <v>18</v>
      </c>
      <c r="L35" s="1" t="s">
        <v>19</v>
      </c>
      <c r="M35" s="2">
        <v>3.8</v>
      </c>
      <c r="N35" s="9">
        <f t="shared" si="0"/>
        <v>25.04</v>
      </c>
      <c r="O35" s="10">
        <v>28.84</v>
      </c>
      <c r="P35" s="12" t="s">
        <v>25</v>
      </c>
      <c r="Q35" s="13">
        <v>98051000</v>
      </c>
    </row>
    <row r="36" spans="2:17" ht="52.8" customHeight="1">
      <c r="B36" s="7">
        <v>31</v>
      </c>
      <c r="C36" s="8" t="s">
        <v>43</v>
      </c>
      <c r="D36" s="8" t="s">
        <v>103</v>
      </c>
      <c r="E36" s="2" t="s">
        <v>44</v>
      </c>
      <c r="F36" s="2" t="s">
        <v>165</v>
      </c>
      <c r="G36" s="2" t="s">
        <v>21</v>
      </c>
      <c r="H36" s="1" t="s">
        <v>16</v>
      </c>
      <c r="I36" s="1" t="s">
        <v>17</v>
      </c>
      <c r="J36" s="1" t="s">
        <v>23</v>
      </c>
      <c r="K36" s="1" t="s">
        <v>18</v>
      </c>
      <c r="L36" s="1" t="s">
        <v>19</v>
      </c>
      <c r="M36" s="2">
        <v>3.8</v>
      </c>
      <c r="N36" s="9">
        <f t="shared" si="0"/>
        <v>23.34</v>
      </c>
      <c r="O36" s="10">
        <v>27.14</v>
      </c>
      <c r="P36" s="12" t="s">
        <v>25</v>
      </c>
      <c r="Q36" s="13">
        <v>98051000</v>
      </c>
    </row>
    <row r="37" spans="2:17" ht="52.8" customHeight="1">
      <c r="B37" s="7">
        <v>32</v>
      </c>
      <c r="C37" s="8" t="s">
        <v>43</v>
      </c>
      <c r="D37" s="8" t="s">
        <v>104</v>
      </c>
      <c r="E37" s="2" t="s">
        <v>44</v>
      </c>
      <c r="F37" s="2" t="s">
        <v>166</v>
      </c>
      <c r="G37" s="2" t="s">
        <v>22</v>
      </c>
      <c r="H37" s="1" t="s">
        <v>16</v>
      </c>
      <c r="I37" s="1" t="s">
        <v>17</v>
      </c>
      <c r="J37" s="1" t="s">
        <v>170</v>
      </c>
      <c r="K37" s="1" t="s">
        <v>18</v>
      </c>
      <c r="L37" s="1" t="s">
        <v>19</v>
      </c>
      <c r="M37" s="2">
        <v>3.8</v>
      </c>
      <c r="N37" s="9">
        <f t="shared" si="0"/>
        <v>22.58</v>
      </c>
      <c r="O37" s="10">
        <v>26.38</v>
      </c>
      <c r="P37" s="12" t="s">
        <v>25</v>
      </c>
      <c r="Q37" s="13">
        <v>98051000</v>
      </c>
    </row>
    <row r="38" spans="2:17" ht="52.8" customHeight="1">
      <c r="B38" s="7">
        <v>33</v>
      </c>
      <c r="C38" s="8" t="s">
        <v>46</v>
      </c>
      <c r="D38" s="8" t="s">
        <v>105</v>
      </c>
      <c r="E38" s="2" t="s">
        <v>44</v>
      </c>
      <c r="F38" s="2" t="s">
        <v>167</v>
      </c>
      <c r="G38" s="2" t="s">
        <v>21</v>
      </c>
      <c r="H38" s="1" t="s">
        <v>16</v>
      </c>
      <c r="I38" s="1" t="s">
        <v>17</v>
      </c>
      <c r="J38" s="1" t="s">
        <v>171</v>
      </c>
      <c r="K38" s="1" t="s">
        <v>18</v>
      </c>
      <c r="L38" s="1" t="s">
        <v>19</v>
      </c>
      <c r="M38" s="2">
        <v>3.8</v>
      </c>
      <c r="N38" s="9">
        <f t="shared" ref="N38:N69" si="1">O38-M38</f>
        <v>26.77</v>
      </c>
      <c r="O38" s="10">
        <v>30.57</v>
      </c>
      <c r="P38" s="12" t="s">
        <v>25</v>
      </c>
      <c r="Q38" s="13">
        <v>98051000</v>
      </c>
    </row>
    <row r="39" spans="2:17" ht="52.8" customHeight="1">
      <c r="B39" s="7">
        <v>34</v>
      </c>
      <c r="C39" s="8" t="s">
        <v>46</v>
      </c>
      <c r="D39" s="8" t="s">
        <v>106</v>
      </c>
      <c r="E39" s="2" t="s">
        <v>44</v>
      </c>
      <c r="F39" s="2" t="s">
        <v>157</v>
      </c>
      <c r="G39" s="2" t="s">
        <v>22</v>
      </c>
      <c r="H39" s="1" t="s">
        <v>16</v>
      </c>
      <c r="I39" s="1" t="s">
        <v>17</v>
      </c>
      <c r="J39" s="1" t="s">
        <v>23</v>
      </c>
      <c r="K39" s="1" t="s">
        <v>18</v>
      </c>
      <c r="L39" s="1" t="s">
        <v>19</v>
      </c>
      <c r="M39" s="2">
        <v>3.83</v>
      </c>
      <c r="N39" s="9">
        <f t="shared" si="1"/>
        <v>20.060000000000002</v>
      </c>
      <c r="O39" s="10">
        <v>23.89</v>
      </c>
      <c r="P39" s="12" t="s">
        <v>25</v>
      </c>
      <c r="Q39" s="13">
        <v>98051000</v>
      </c>
    </row>
    <row r="40" spans="2:17" ht="52.8" customHeight="1">
      <c r="B40" s="7">
        <v>35</v>
      </c>
      <c r="C40" s="8" t="s">
        <v>47</v>
      </c>
      <c r="D40" s="8" t="s">
        <v>107</v>
      </c>
      <c r="E40" s="2" t="s">
        <v>44</v>
      </c>
      <c r="F40" s="2" t="s">
        <v>157</v>
      </c>
      <c r="G40" s="2" t="s">
        <v>21</v>
      </c>
      <c r="H40" s="1" t="s">
        <v>16</v>
      </c>
      <c r="I40" s="1" t="s">
        <v>17</v>
      </c>
      <c r="J40" s="1" t="s">
        <v>23</v>
      </c>
      <c r="K40" s="1" t="s">
        <v>18</v>
      </c>
      <c r="L40" s="1" t="s">
        <v>19</v>
      </c>
      <c r="M40" s="2">
        <v>3.8</v>
      </c>
      <c r="N40" s="9">
        <f t="shared" si="1"/>
        <v>27.509999999999998</v>
      </c>
      <c r="O40" s="10">
        <v>31.31</v>
      </c>
      <c r="P40" s="12" t="s">
        <v>25</v>
      </c>
      <c r="Q40" s="13">
        <v>98051000</v>
      </c>
    </row>
    <row r="41" spans="2:17" ht="52.8" customHeight="1">
      <c r="B41" s="7">
        <v>36</v>
      </c>
      <c r="C41" s="8" t="s">
        <v>47</v>
      </c>
      <c r="D41" s="8" t="s">
        <v>108</v>
      </c>
      <c r="E41" s="2" t="s">
        <v>44</v>
      </c>
      <c r="F41" s="2" t="s">
        <v>157</v>
      </c>
      <c r="G41" s="2" t="s">
        <v>22</v>
      </c>
      <c r="H41" s="1" t="s">
        <v>16</v>
      </c>
      <c r="I41" s="1" t="s">
        <v>17</v>
      </c>
      <c r="J41" s="1" t="s">
        <v>23</v>
      </c>
      <c r="K41" s="1" t="s">
        <v>18</v>
      </c>
      <c r="L41" s="1" t="s">
        <v>19</v>
      </c>
      <c r="M41" s="2">
        <v>3.8</v>
      </c>
      <c r="N41" s="9">
        <f t="shared" si="1"/>
        <v>16.18</v>
      </c>
      <c r="O41" s="10">
        <v>19.98</v>
      </c>
      <c r="P41" s="12" t="s">
        <v>25</v>
      </c>
      <c r="Q41" s="13">
        <v>98051000</v>
      </c>
    </row>
    <row r="42" spans="2:17" ht="52.8" customHeight="1">
      <c r="B42" s="7">
        <v>37</v>
      </c>
      <c r="C42" s="8" t="s">
        <v>48</v>
      </c>
      <c r="D42" s="8" t="s">
        <v>109</v>
      </c>
      <c r="E42" s="2" t="s">
        <v>44</v>
      </c>
      <c r="F42" s="2" t="s">
        <v>157</v>
      </c>
      <c r="G42" s="2" t="s">
        <v>21</v>
      </c>
      <c r="H42" s="1" t="s">
        <v>16</v>
      </c>
      <c r="I42" s="1" t="s">
        <v>17</v>
      </c>
      <c r="J42" s="1" t="s">
        <v>23</v>
      </c>
      <c r="K42" s="1" t="s">
        <v>18</v>
      </c>
      <c r="L42" s="1" t="s">
        <v>19</v>
      </c>
      <c r="M42" s="2">
        <v>3.8</v>
      </c>
      <c r="N42" s="9">
        <f t="shared" si="1"/>
        <v>25.68</v>
      </c>
      <c r="O42" s="10">
        <v>29.48</v>
      </c>
      <c r="P42" s="12" t="s">
        <v>25</v>
      </c>
      <c r="Q42" s="13">
        <v>98051000</v>
      </c>
    </row>
    <row r="43" spans="2:17" ht="52.8" customHeight="1">
      <c r="B43" s="7">
        <v>38</v>
      </c>
      <c r="C43" s="8" t="s">
        <v>49</v>
      </c>
      <c r="D43" s="8" t="s">
        <v>110</v>
      </c>
      <c r="E43" s="2" t="s">
        <v>44</v>
      </c>
      <c r="F43" s="2" t="s">
        <v>162</v>
      </c>
      <c r="G43" s="2" t="s">
        <v>21</v>
      </c>
      <c r="H43" s="1" t="s">
        <v>16</v>
      </c>
      <c r="I43" s="1" t="s">
        <v>17</v>
      </c>
      <c r="J43" s="1" t="s">
        <v>23</v>
      </c>
      <c r="K43" s="1" t="s">
        <v>18</v>
      </c>
      <c r="L43" s="1" t="s">
        <v>19</v>
      </c>
      <c r="M43" s="2">
        <v>3.8</v>
      </c>
      <c r="N43" s="9">
        <f t="shared" si="1"/>
        <v>26.13</v>
      </c>
      <c r="O43" s="10">
        <v>29.93</v>
      </c>
      <c r="P43" s="12" t="s">
        <v>25</v>
      </c>
      <c r="Q43" s="13">
        <v>98051000</v>
      </c>
    </row>
    <row r="44" spans="2:17" ht="52.8" customHeight="1">
      <c r="B44" s="7">
        <v>39</v>
      </c>
      <c r="C44" s="8" t="s">
        <v>49</v>
      </c>
      <c r="D44" s="8" t="s">
        <v>111</v>
      </c>
      <c r="E44" s="2" t="s">
        <v>44</v>
      </c>
      <c r="F44" s="2" t="s">
        <v>157</v>
      </c>
      <c r="G44" s="2" t="s">
        <v>22</v>
      </c>
      <c r="H44" s="1" t="s">
        <v>16</v>
      </c>
      <c r="I44" s="1" t="s">
        <v>17</v>
      </c>
      <c r="J44" s="1" t="s">
        <v>23</v>
      </c>
      <c r="K44" s="1" t="s">
        <v>18</v>
      </c>
      <c r="L44" s="1" t="s">
        <v>19</v>
      </c>
      <c r="M44" s="2">
        <v>3.8</v>
      </c>
      <c r="N44" s="9">
        <f t="shared" si="1"/>
        <v>19.649999999999999</v>
      </c>
      <c r="O44" s="10">
        <v>23.45</v>
      </c>
      <c r="P44" s="12" t="s">
        <v>25</v>
      </c>
      <c r="Q44" s="13">
        <v>98051000</v>
      </c>
    </row>
    <row r="45" spans="2:17" ht="52.8" customHeight="1">
      <c r="B45" s="7">
        <v>40</v>
      </c>
      <c r="C45" s="8" t="s">
        <v>50</v>
      </c>
      <c r="D45" s="8" t="s">
        <v>112</v>
      </c>
      <c r="E45" s="2" t="s">
        <v>44</v>
      </c>
      <c r="F45" s="2" t="s">
        <v>157</v>
      </c>
      <c r="G45" s="2" t="s">
        <v>21</v>
      </c>
      <c r="H45" s="1" t="s">
        <v>16</v>
      </c>
      <c r="I45" s="1" t="s">
        <v>17</v>
      </c>
      <c r="J45" s="1" t="s">
        <v>23</v>
      </c>
      <c r="K45" s="1" t="s">
        <v>18</v>
      </c>
      <c r="L45" s="1" t="s">
        <v>19</v>
      </c>
      <c r="M45" s="2">
        <v>3.8</v>
      </c>
      <c r="N45" s="9">
        <f t="shared" si="1"/>
        <v>26.66</v>
      </c>
      <c r="O45" s="10">
        <v>30.46</v>
      </c>
      <c r="P45" s="12" t="s">
        <v>25</v>
      </c>
      <c r="Q45" s="13">
        <v>98051000</v>
      </c>
    </row>
    <row r="46" spans="2:17" ht="52.8" customHeight="1">
      <c r="B46" s="7">
        <v>41</v>
      </c>
      <c r="C46" s="8" t="s">
        <v>51</v>
      </c>
      <c r="D46" s="8" t="s">
        <v>113</v>
      </c>
      <c r="E46" s="2" t="s">
        <v>44</v>
      </c>
      <c r="F46" s="2" t="s">
        <v>157</v>
      </c>
      <c r="G46" s="2" t="s">
        <v>21</v>
      </c>
      <c r="H46" s="1" t="s">
        <v>16</v>
      </c>
      <c r="I46" s="1" t="s">
        <v>17</v>
      </c>
      <c r="J46" s="1" t="s">
        <v>23</v>
      </c>
      <c r="K46" s="1" t="s">
        <v>18</v>
      </c>
      <c r="L46" s="1" t="s">
        <v>19</v>
      </c>
      <c r="M46" s="2">
        <v>3.8</v>
      </c>
      <c r="N46" s="9">
        <f t="shared" si="1"/>
        <v>26.71</v>
      </c>
      <c r="O46" s="10">
        <v>30.51</v>
      </c>
      <c r="P46" s="12" t="s">
        <v>25</v>
      </c>
      <c r="Q46" s="13">
        <v>98051000</v>
      </c>
    </row>
    <row r="47" spans="2:17" ht="52.8" customHeight="1">
      <c r="B47" s="7">
        <v>42</v>
      </c>
      <c r="C47" s="8" t="s">
        <v>51</v>
      </c>
      <c r="D47" s="8" t="s">
        <v>114</v>
      </c>
      <c r="E47" s="2" t="s">
        <v>44</v>
      </c>
      <c r="F47" s="2" t="s">
        <v>162</v>
      </c>
      <c r="G47" s="2" t="s">
        <v>22</v>
      </c>
      <c r="H47" s="1" t="s">
        <v>16</v>
      </c>
      <c r="I47" s="1" t="s">
        <v>17</v>
      </c>
      <c r="J47" s="1" t="s">
        <v>23</v>
      </c>
      <c r="K47" s="1" t="s">
        <v>18</v>
      </c>
      <c r="L47" s="1" t="s">
        <v>19</v>
      </c>
      <c r="M47" s="2">
        <v>3.8</v>
      </c>
      <c r="N47" s="9">
        <f t="shared" si="1"/>
        <v>23.84</v>
      </c>
      <c r="O47" s="10">
        <v>27.64</v>
      </c>
      <c r="P47" s="12" t="s">
        <v>25</v>
      </c>
      <c r="Q47" s="13">
        <v>98051000</v>
      </c>
    </row>
    <row r="48" spans="2:17" ht="52.8" customHeight="1">
      <c r="B48" s="7">
        <v>43</v>
      </c>
      <c r="C48" s="8" t="s">
        <v>52</v>
      </c>
      <c r="D48" s="8" t="s">
        <v>115</v>
      </c>
      <c r="E48" s="2" t="s">
        <v>44</v>
      </c>
      <c r="F48" s="2" t="s">
        <v>157</v>
      </c>
      <c r="G48" s="2" t="s">
        <v>21</v>
      </c>
      <c r="H48" s="1" t="s">
        <v>16</v>
      </c>
      <c r="I48" s="1" t="s">
        <v>17</v>
      </c>
      <c r="J48" s="1" t="s">
        <v>23</v>
      </c>
      <c r="K48" s="1" t="s">
        <v>18</v>
      </c>
      <c r="L48" s="1" t="s">
        <v>19</v>
      </c>
      <c r="M48" s="2">
        <v>3.8</v>
      </c>
      <c r="N48" s="9">
        <f t="shared" si="1"/>
        <v>23.22</v>
      </c>
      <c r="O48" s="10">
        <v>27.02</v>
      </c>
      <c r="P48" s="12" t="s">
        <v>25</v>
      </c>
      <c r="Q48" s="13">
        <v>98051000</v>
      </c>
    </row>
    <row r="49" spans="2:17" ht="52.8" customHeight="1">
      <c r="B49" s="7">
        <v>44</v>
      </c>
      <c r="C49" s="8" t="s">
        <v>52</v>
      </c>
      <c r="D49" s="8" t="s">
        <v>116</v>
      </c>
      <c r="E49" s="2" t="s">
        <v>44</v>
      </c>
      <c r="F49" s="2" t="s">
        <v>157</v>
      </c>
      <c r="G49" s="2" t="s">
        <v>22</v>
      </c>
      <c r="H49" s="1" t="s">
        <v>16</v>
      </c>
      <c r="I49" s="1" t="s">
        <v>17</v>
      </c>
      <c r="J49" s="1" t="s">
        <v>23</v>
      </c>
      <c r="K49" s="1" t="s">
        <v>18</v>
      </c>
      <c r="L49" s="1" t="s">
        <v>19</v>
      </c>
      <c r="M49" s="2">
        <v>3.83</v>
      </c>
      <c r="N49" s="9">
        <f t="shared" si="1"/>
        <v>17.240000000000002</v>
      </c>
      <c r="O49" s="10">
        <v>21.07</v>
      </c>
      <c r="P49" s="12" t="s">
        <v>25</v>
      </c>
      <c r="Q49" s="13">
        <v>98051000</v>
      </c>
    </row>
    <row r="50" spans="2:17" ht="52.8" customHeight="1">
      <c r="B50" s="7">
        <v>45</v>
      </c>
      <c r="C50" s="8" t="s">
        <v>53</v>
      </c>
      <c r="D50" s="8" t="s">
        <v>117</v>
      </c>
      <c r="E50" s="2" t="s">
        <v>44</v>
      </c>
      <c r="F50" s="2" t="s">
        <v>164</v>
      </c>
      <c r="G50" s="2" t="s">
        <v>21</v>
      </c>
      <c r="H50" s="1" t="s">
        <v>16</v>
      </c>
      <c r="I50" s="1" t="s">
        <v>17</v>
      </c>
      <c r="J50" s="1" t="s">
        <v>23</v>
      </c>
      <c r="K50" s="1" t="s">
        <v>18</v>
      </c>
      <c r="L50" s="1" t="s">
        <v>19</v>
      </c>
      <c r="M50" s="2">
        <v>3.8</v>
      </c>
      <c r="N50" s="9">
        <f t="shared" si="1"/>
        <v>23.87</v>
      </c>
      <c r="O50" s="10">
        <v>27.67</v>
      </c>
      <c r="P50" s="12" t="s">
        <v>25</v>
      </c>
      <c r="Q50" s="13">
        <v>98051000</v>
      </c>
    </row>
    <row r="51" spans="2:17" ht="52.8" customHeight="1">
      <c r="B51" s="7">
        <v>46</v>
      </c>
      <c r="C51" s="8" t="s">
        <v>53</v>
      </c>
      <c r="D51" s="8" t="s">
        <v>118</v>
      </c>
      <c r="E51" s="2" t="s">
        <v>44</v>
      </c>
      <c r="F51" s="2" t="s">
        <v>157</v>
      </c>
      <c r="G51" s="2" t="s">
        <v>22</v>
      </c>
      <c r="H51" s="1" t="s">
        <v>16</v>
      </c>
      <c r="I51" s="1" t="s">
        <v>17</v>
      </c>
      <c r="J51" s="1" t="s">
        <v>23</v>
      </c>
      <c r="K51" s="1" t="s">
        <v>18</v>
      </c>
      <c r="L51" s="1" t="s">
        <v>19</v>
      </c>
      <c r="M51" s="2">
        <v>3.83</v>
      </c>
      <c r="N51" s="9">
        <f t="shared" si="1"/>
        <v>16.840000000000003</v>
      </c>
      <c r="O51" s="10">
        <v>20.67</v>
      </c>
      <c r="P51" s="12" t="s">
        <v>25</v>
      </c>
      <c r="Q51" s="13">
        <v>98051000</v>
      </c>
    </row>
    <row r="52" spans="2:17" ht="52.8" customHeight="1">
      <c r="B52" s="7">
        <v>47</v>
      </c>
      <c r="C52" s="8" t="s">
        <v>54</v>
      </c>
      <c r="D52" s="8" t="s">
        <v>119</v>
      </c>
      <c r="E52" s="2" t="s">
        <v>44</v>
      </c>
      <c r="F52" s="2" t="s">
        <v>157</v>
      </c>
      <c r="G52" s="2" t="s">
        <v>21</v>
      </c>
      <c r="H52" s="1" t="s">
        <v>16</v>
      </c>
      <c r="I52" s="1" t="s">
        <v>17</v>
      </c>
      <c r="J52" s="1" t="s">
        <v>23</v>
      </c>
      <c r="K52" s="1" t="s">
        <v>18</v>
      </c>
      <c r="L52" s="1" t="s">
        <v>19</v>
      </c>
      <c r="M52" s="2">
        <v>3.83</v>
      </c>
      <c r="N52" s="9">
        <f t="shared" si="1"/>
        <v>25.92</v>
      </c>
      <c r="O52" s="10">
        <v>29.75</v>
      </c>
      <c r="P52" s="12" t="s">
        <v>25</v>
      </c>
      <c r="Q52" s="13">
        <v>98051000</v>
      </c>
    </row>
    <row r="53" spans="2:17" ht="52.8" customHeight="1">
      <c r="B53" s="7">
        <v>48</v>
      </c>
      <c r="C53" s="8" t="s">
        <v>54</v>
      </c>
      <c r="D53" s="8" t="s">
        <v>120</v>
      </c>
      <c r="E53" s="2" t="s">
        <v>44</v>
      </c>
      <c r="F53" s="2" t="s">
        <v>157</v>
      </c>
      <c r="G53" s="2" t="s">
        <v>22</v>
      </c>
      <c r="H53" s="1" t="s">
        <v>16</v>
      </c>
      <c r="I53" s="1" t="s">
        <v>17</v>
      </c>
      <c r="J53" s="1" t="s">
        <v>23</v>
      </c>
      <c r="K53" s="1" t="s">
        <v>18</v>
      </c>
      <c r="L53" s="1" t="s">
        <v>19</v>
      </c>
      <c r="M53" s="2">
        <v>3.8</v>
      </c>
      <c r="N53" s="9">
        <f t="shared" si="1"/>
        <v>23.21</v>
      </c>
      <c r="O53" s="10">
        <v>27.01</v>
      </c>
      <c r="P53" s="12" t="s">
        <v>25</v>
      </c>
      <c r="Q53" s="13">
        <v>98051000</v>
      </c>
    </row>
    <row r="54" spans="2:17" ht="52.8" customHeight="1">
      <c r="B54" s="7">
        <v>49</v>
      </c>
      <c r="C54" s="8" t="s">
        <v>55</v>
      </c>
      <c r="D54" s="8" t="s">
        <v>121</v>
      </c>
      <c r="E54" s="2" t="s">
        <v>44</v>
      </c>
      <c r="F54" s="2" t="s">
        <v>164</v>
      </c>
      <c r="G54" s="2" t="s">
        <v>21</v>
      </c>
      <c r="H54" s="1" t="s">
        <v>16</v>
      </c>
      <c r="I54" s="1" t="s">
        <v>17</v>
      </c>
      <c r="J54" s="1" t="s">
        <v>23</v>
      </c>
      <c r="K54" s="1" t="s">
        <v>18</v>
      </c>
      <c r="L54" s="1" t="s">
        <v>19</v>
      </c>
      <c r="M54" s="2">
        <v>3.8</v>
      </c>
      <c r="N54" s="9">
        <f t="shared" si="1"/>
        <v>26.24</v>
      </c>
      <c r="O54" s="10">
        <v>30.04</v>
      </c>
      <c r="P54" s="12" t="s">
        <v>25</v>
      </c>
      <c r="Q54" s="13">
        <v>98051000</v>
      </c>
    </row>
    <row r="55" spans="2:17" ht="52.8" customHeight="1">
      <c r="B55" s="7">
        <v>50</v>
      </c>
      <c r="C55" s="8" t="s">
        <v>55</v>
      </c>
      <c r="D55" s="8" t="s">
        <v>122</v>
      </c>
      <c r="E55" s="2" t="s">
        <v>44</v>
      </c>
      <c r="F55" s="2" t="s">
        <v>163</v>
      </c>
      <c r="G55" s="2" t="s">
        <v>22</v>
      </c>
      <c r="H55" s="1" t="s">
        <v>16</v>
      </c>
      <c r="I55" s="1" t="s">
        <v>17</v>
      </c>
      <c r="J55" s="1" t="s">
        <v>23</v>
      </c>
      <c r="K55" s="1" t="s">
        <v>18</v>
      </c>
      <c r="L55" s="1" t="s">
        <v>19</v>
      </c>
      <c r="M55" s="2">
        <v>3.8</v>
      </c>
      <c r="N55" s="9">
        <f t="shared" si="1"/>
        <v>19.54</v>
      </c>
      <c r="O55" s="10">
        <v>23.34</v>
      </c>
      <c r="P55" s="12" t="s">
        <v>25</v>
      </c>
      <c r="Q55" s="13">
        <v>98051000</v>
      </c>
    </row>
    <row r="56" spans="2:17" ht="52.8" customHeight="1">
      <c r="B56" s="7">
        <v>51</v>
      </c>
      <c r="C56" s="8" t="s">
        <v>56</v>
      </c>
      <c r="D56" s="8" t="s">
        <v>123</v>
      </c>
      <c r="E56" s="2" t="s">
        <v>44</v>
      </c>
      <c r="F56" s="2" t="s">
        <v>163</v>
      </c>
      <c r="G56" s="2" t="s">
        <v>21</v>
      </c>
      <c r="H56" s="1" t="s">
        <v>16</v>
      </c>
      <c r="I56" s="1" t="s">
        <v>17</v>
      </c>
      <c r="J56" s="1" t="s">
        <v>23</v>
      </c>
      <c r="K56" s="1" t="s">
        <v>18</v>
      </c>
      <c r="L56" s="1" t="s">
        <v>19</v>
      </c>
      <c r="M56" s="2">
        <v>3.8</v>
      </c>
      <c r="N56" s="9">
        <f t="shared" si="1"/>
        <v>26.63</v>
      </c>
      <c r="O56" s="10">
        <v>30.43</v>
      </c>
      <c r="P56" s="12" t="s">
        <v>25</v>
      </c>
      <c r="Q56" s="13">
        <v>98051000</v>
      </c>
    </row>
    <row r="57" spans="2:17" ht="52.8" customHeight="1">
      <c r="B57" s="7">
        <v>52</v>
      </c>
      <c r="C57" s="8" t="s">
        <v>56</v>
      </c>
      <c r="D57" s="8" t="s">
        <v>124</v>
      </c>
      <c r="E57" s="2" t="s">
        <v>44</v>
      </c>
      <c r="F57" s="2" t="s">
        <v>164</v>
      </c>
      <c r="G57" s="2" t="s">
        <v>22</v>
      </c>
      <c r="H57" s="1" t="s">
        <v>16</v>
      </c>
      <c r="I57" s="1" t="s">
        <v>17</v>
      </c>
      <c r="J57" s="1" t="s">
        <v>23</v>
      </c>
      <c r="K57" s="1" t="s">
        <v>18</v>
      </c>
      <c r="L57" s="1" t="s">
        <v>19</v>
      </c>
      <c r="M57" s="2">
        <v>3.8</v>
      </c>
      <c r="N57" s="9">
        <f t="shared" si="1"/>
        <v>15.89</v>
      </c>
      <c r="O57" s="10">
        <v>19.690000000000001</v>
      </c>
      <c r="P57" s="12" t="s">
        <v>25</v>
      </c>
      <c r="Q57" s="13">
        <v>98051000</v>
      </c>
    </row>
    <row r="58" spans="2:17" ht="52.8" customHeight="1">
      <c r="B58" s="7">
        <v>53</v>
      </c>
      <c r="C58" s="8" t="s">
        <v>57</v>
      </c>
      <c r="D58" s="8" t="s">
        <v>125</v>
      </c>
      <c r="E58" s="2" t="s">
        <v>44</v>
      </c>
      <c r="F58" s="2" t="s">
        <v>164</v>
      </c>
      <c r="G58" s="2" t="s">
        <v>21</v>
      </c>
      <c r="H58" s="1" t="s">
        <v>16</v>
      </c>
      <c r="I58" s="1" t="s">
        <v>17</v>
      </c>
      <c r="J58" s="1" t="s">
        <v>23</v>
      </c>
      <c r="K58" s="1" t="s">
        <v>18</v>
      </c>
      <c r="L58" s="1" t="s">
        <v>19</v>
      </c>
      <c r="M58" s="2">
        <v>3.8</v>
      </c>
      <c r="N58" s="9">
        <f t="shared" si="1"/>
        <v>26.14</v>
      </c>
      <c r="O58" s="10">
        <v>29.94</v>
      </c>
      <c r="P58" s="12" t="s">
        <v>25</v>
      </c>
      <c r="Q58" s="13">
        <v>98051000</v>
      </c>
    </row>
    <row r="59" spans="2:17" ht="52.8" customHeight="1">
      <c r="B59" s="7">
        <v>54</v>
      </c>
      <c r="C59" s="8" t="s">
        <v>57</v>
      </c>
      <c r="D59" s="8" t="s">
        <v>126</v>
      </c>
      <c r="E59" s="2" t="s">
        <v>44</v>
      </c>
      <c r="F59" s="2" t="s">
        <v>163</v>
      </c>
      <c r="G59" s="2" t="s">
        <v>22</v>
      </c>
      <c r="H59" s="1" t="s">
        <v>16</v>
      </c>
      <c r="I59" s="1" t="s">
        <v>17</v>
      </c>
      <c r="J59" s="1" t="s">
        <v>23</v>
      </c>
      <c r="K59" s="1" t="s">
        <v>18</v>
      </c>
      <c r="L59" s="1" t="s">
        <v>19</v>
      </c>
      <c r="M59" s="2">
        <v>3.83</v>
      </c>
      <c r="N59" s="9">
        <f t="shared" si="1"/>
        <v>21.97</v>
      </c>
      <c r="O59" s="10">
        <v>25.8</v>
      </c>
      <c r="P59" s="12" t="s">
        <v>25</v>
      </c>
      <c r="Q59" s="13">
        <v>98051000</v>
      </c>
    </row>
    <row r="60" spans="2:17" ht="52.8" customHeight="1">
      <c r="B60" s="7">
        <v>55</v>
      </c>
      <c r="C60" s="8" t="s">
        <v>58</v>
      </c>
      <c r="D60" s="8" t="s">
        <v>127</v>
      </c>
      <c r="E60" s="2" t="s">
        <v>44</v>
      </c>
      <c r="F60" s="2" t="s">
        <v>157</v>
      </c>
      <c r="G60" s="2" t="s">
        <v>21</v>
      </c>
      <c r="H60" s="1" t="s">
        <v>16</v>
      </c>
      <c r="I60" s="1" t="s">
        <v>17</v>
      </c>
      <c r="J60" s="1" t="s">
        <v>23</v>
      </c>
      <c r="K60" s="1" t="s">
        <v>18</v>
      </c>
      <c r="L60" s="1" t="s">
        <v>19</v>
      </c>
      <c r="M60" s="2">
        <v>3.83</v>
      </c>
      <c r="N60" s="9">
        <f t="shared" si="1"/>
        <v>26.47</v>
      </c>
      <c r="O60" s="10">
        <v>30.3</v>
      </c>
      <c r="P60" s="12" t="s">
        <v>25</v>
      </c>
      <c r="Q60" s="13">
        <v>98051000</v>
      </c>
    </row>
    <row r="61" spans="2:17" ht="52.8" customHeight="1">
      <c r="B61" s="7">
        <v>56</v>
      </c>
      <c r="C61" s="8" t="s">
        <v>58</v>
      </c>
      <c r="D61" s="8" t="s">
        <v>128</v>
      </c>
      <c r="E61" s="2" t="s">
        <v>44</v>
      </c>
      <c r="F61" s="2" t="s">
        <v>157</v>
      </c>
      <c r="G61" s="2" t="s">
        <v>22</v>
      </c>
      <c r="H61" s="1" t="s">
        <v>16</v>
      </c>
      <c r="I61" s="1" t="s">
        <v>17</v>
      </c>
      <c r="J61" s="1" t="s">
        <v>23</v>
      </c>
      <c r="K61" s="1" t="s">
        <v>18</v>
      </c>
      <c r="L61" s="1" t="s">
        <v>19</v>
      </c>
      <c r="M61" s="2">
        <v>3.8</v>
      </c>
      <c r="N61" s="9">
        <f t="shared" si="1"/>
        <v>24.68</v>
      </c>
      <c r="O61" s="10">
        <v>28.48</v>
      </c>
      <c r="P61" s="12" t="s">
        <v>25</v>
      </c>
      <c r="Q61" s="13">
        <v>98051000</v>
      </c>
    </row>
    <row r="62" spans="2:17" ht="52.8" customHeight="1">
      <c r="B62" s="7">
        <v>57</v>
      </c>
      <c r="C62" s="8" t="s">
        <v>59</v>
      </c>
      <c r="D62" s="8" t="s">
        <v>129</v>
      </c>
      <c r="E62" s="2" t="s">
        <v>44</v>
      </c>
      <c r="F62" s="2" t="s">
        <v>164</v>
      </c>
      <c r="G62" s="2" t="s">
        <v>21</v>
      </c>
      <c r="H62" s="1" t="s">
        <v>16</v>
      </c>
      <c r="I62" s="1" t="s">
        <v>17</v>
      </c>
      <c r="J62" s="1" t="s">
        <v>23</v>
      </c>
      <c r="K62" s="1" t="s">
        <v>18</v>
      </c>
      <c r="L62" s="1" t="s">
        <v>19</v>
      </c>
      <c r="M62" s="2">
        <v>3.8</v>
      </c>
      <c r="N62" s="9">
        <f t="shared" si="1"/>
        <v>25.8</v>
      </c>
      <c r="O62" s="10">
        <v>29.6</v>
      </c>
      <c r="P62" s="12" t="s">
        <v>25</v>
      </c>
      <c r="Q62" s="13">
        <v>98051000</v>
      </c>
    </row>
    <row r="63" spans="2:17" ht="52.8" customHeight="1">
      <c r="B63" s="7">
        <v>58</v>
      </c>
      <c r="C63" s="8" t="s">
        <v>59</v>
      </c>
      <c r="D63" s="8" t="s">
        <v>130</v>
      </c>
      <c r="E63" s="2" t="s">
        <v>44</v>
      </c>
      <c r="F63" s="2" t="s">
        <v>162</v>
      </c>
      <c r="G63" s="2" t="s">
        <v>22</v>
      </c>
      <c r="H63" s="1" t="s">
        <v>16</v>
      </c>
      <c r="I63" s="1" t="s">
        <v>17</v>
      </c>
      <c r="J63" s="1" t="s">
        <v>23</v>
      </c>
      <c r="K63" s="1" t="s">
        <v>18</v>
      </c>
      <c r="L63" s="1" t="s">
        <v>19</v>
      </c>
      <c r="M63" s="2">
        <v>3.8</v>
      </c>
      <c r="N63" s="9">
        <f t="shared" si="1"/>
        <v>22.189999999999998</v>
      </c>
      <c r="O63" s="10">
        <v>25.99</v>
      </c>
      <c r="P63" s="12" t="s">
        <v>25</v>
      </c>
      <c r="Q63" s="13">
        <v>98051000</v>
      </c>
    </row>
    <row r="64" spans="2:17" ht="52.8" customHeight="1">
      <c r="B64" s="7">
        <v>59</v>
      </c>
      <c r="C64" s="8" t="s">
        <v>60</v>
      </c>
      <c r="D64" s="8" t="s">
        <v>131</v>
      </c>
      <c r="E64" s="2" t="s">
        <v>44</v>
      </c>
      <c r="F64" s="2" t="s">
        <v>164</v>
      </c>
      <c r="G64" s="2" t="s">
        <v>21</v>
      </c>
      <c r="H64" s="1" t="s">
        <v>16</v>
      </c>
      <c r="I64" s="1" t="s">
        <v>17</v>
      </c>
      <c r="J64" s="1" t="s">
        <v>23</v>
      </c>
      <c r="K64" s="1" t="s">
        <v>18</v>
      </c>
      <c r="L64" s="1" t="s">
        <v>19</v>
      </c>
      <c r="M64" s="2">
        <v>3.8</v>
      </c>
      <c r="N64" s="9">
        <f t="shared" si="1"/>
        <v>25.89</v>
      </c>
      <c r="O64" s="10">
        <v>29.69</v>
      </c>
      <c r="P64" s="12" t="s">
        <v>25</v>
      </c>
      <c r="Q64" s="13">
        <v>98051000</v>
      </c>
    </row>
    <row r="65" spans="2:17" ht="52.8" customHeight="1">
      <c r="B65" s="7">
        <v>60</v>
      </c>
      <c r="C65" s="8" t="s">
        <v>60</v>
      </c>
      <c r="D65" s="8" t="s">
        <v>132</v>
      </c>
      <c r="E65" s="2" t="s">
        <v>44</v>
      </c>
      <c r="F65" s="2" t="s">
        <v>164</v>
      </c>
      <c r="G65" s="2" t="s">
        <v>22</v>
      </c>
      <c r="H65" s="1" t="s">
        <v>16</v>
      </c>
      <c r="I65" s="1" t="s">
        <v>17</v>
      </c>
      <c r="J65" s="1" t="s">
        <v>23</v>
      </c>
      <c r="K65" s="1" t="s">
        <v>18</v>
      </c>
      <c r="L65" s="1" t="s">
        <v>19</v>
      </c>
      <c r="M65" s="2">
        <v>3.8</v>
      </c>
      <c r="N65" s="9">
        <f t="shared" si="1"/>
        <v>24.009999999999998</v>
      </c>
      <c r="O65" s="10">
        <v>27.81</v>
      </c>
      <c r="P65" s="12" t="s">
        <v>25</v>
      </c>
      <c r="Q65" s="13">
        <v>98051000</v>
      </c>
    </row>
    <row r="66" spans="2:17" ht="52.8" customHeight="1">
      <c r="B66" s="7">
        <v>61</v>
      </c>
      <c r="C66" s="8" t="s">
        <v>61</v>
      </c>
      <c r="D66" s="8" t="s">
        <v>133</v>
      </c>
      <c r="E66" s="2" t="s">
        <v>44</v>
      </c>
      <c r="F66" s="2" t="s">
        <v>164</v>
      </c>
      <c r="G66" s="2" t="s">
        <v>21</v>
      </c>
      <c r="H66" s="1" t="s">
        <v>16</v>
      </c>
      <c r="I66" s="1" t="s">
        <v>17</v>
      </c>
      <c r="J66" s="1" t="s">
        <v>23</v>
      </c>
      <c r="K66" s="1" t="s">
        <v>18</v>
      </c>
      <c r="L66" s="1" t="s">
        <v>19</v>
      </c>
      <c r="M66" s="2">
        <v>3.8</v>
      </c>
      <c r="N66" s="9">
        <f t="shared" si="1"/>
        <v>26.34</v>
      </c>
      <c r="O66" s="10">
        <v>30.14</v>
      </c>
      <c r="P66" s="12" t="s">
        <v>25</v>
      </c>
      <c r="Q66" s="13">
        <v>98051000</v>
      </c>
    </row>
    <row r="67" spans="2:17" ht="52.8" customHeight="1">
      <c r="B67" s="7">
        <v>62</v>
      </c>
      <c r="C67" s="8" t="s">
        <v>61</v>
      </c>
      <c r="D67" s="8" t="s">
        <v>134</v>
      </c>
      <c r="E67" s="2" t="s">
        <v>44</v>
      </c>
      <c r="F67" s="2" t="s">
        <v>157</v>
      </c>
      <c r="G67" s="2" t="s">
        <v>22</v>
      </c>
      <c r="H67" s="1" t="s">
        <v>16</v>
      </c>
      <c r="I67" s="1" t="s">
        <v>17</v>
      </c>
      <c r="J67" s="1" t="s">
        <v>23</v>
      </c>
      <c r="K67" s="1" t="s">
        <v>18</v>
      </c>
      <c r="L67" s="1" t="s">
        <v>19</v>
      </c>
      <c r="M67" s="2">
        <v>3.83</v>
      </c>
      <c r="N67" s="9">
        <f t="shared" si="1"/>
        <v>25.04</v>
      </c>
      <c r="O67" s="10">
        <v>28.87</v>
      </c>
      <c r="P67" s="12" t="s">
        <v>25</v>
      </c>
      <c r="Q67" s="13">
        <v>98051000</v>
      </c>
    </row>
    <row r="68" spans="2:17" ht="52.8" customHeight="1">
      <c r="B68" s="7">
        <v>63</v>
      </c>
      <c r="C68" s="8" t="s">
        <v>62</v>
      </c>
      <c r="D68" s="8" t="s">
        <v>135</v>
      </c>
      <c r="E68" s="2" t="s">
        <v>44</v>
      </c>
      <c r="F68" s="2" t="s">
        <v>164</v>
      </c>
      <c r="G68" s="2" t="s">
        <v>21</v>
      </c>
      <c r="H68" s="1" t="s">
        <v>16</v>
      </c>
      <c r="I68" s="1" t="s">
        <v>17</v>
      </c>
      <c r="J68" s="1" t="s">
        <v>23</v>
      </c>
      <c r="K68" s="1" t="s">
        <v>18</v>
      </c>
      <c r="L68" s="1" t="s">
        <v>19</v>
      </c>
      <c r="M68" s="2">
        <v>3.8</v>
      </c>
      <c r="N68" s="9">
        <f t="shared" si="1"/>
        <v>26.08</v>
      </c>
      <c r="O68" s="10">
        <v>29.88</v>
      </c>
      <c r="P68" s="12" t="s">
        <v>25</v>
      </c>
      <c r="Q68" s="13">
        <v>98051000</v>
      </c>
    </row>
    <row r="69" spans="2:17" ht="52.8" customHeight="1">
      <c r="B69" s="7">
        <v>64</v>
      </c>
      <c r="C69" s="8" t="s">
        <v>62</v>
      </c>
      <c r="D69" s="8" t="s">
        <v>136</v>
      </c>
      <c r="E69" s="2" t="s">
        <v>44</v>
      </c>
      <c r="F69" s="2" t="s">
        <v>157</v>
      </c>
      <c r="G69" s="2" t="s">
        <v>22</v>
      </c>
      <c r="H69" s="1" t="s">
        <v>16</v>
      </c>
      <c r="I69" s="1" t="s">
        <v>17</v>
      </c>
      <c r="J69" s="1" t="s">
        <v>23</v>
      </c>
      <c r="K69" s="1" t="s">
        <v>18</v>
      </c>
      <c r="L69" s="1" t="s">
        <v>19</v>
      </c>
      <c r="M69" s="2">
        <v>3.83</v>
      </c>
      <c r="N69" s="9">
        <f t="shared" si="1"/>
        <v>24.979999999999997</v>
      </c>
      <c r="O69" s="10">
        <v>28.81</v>
      </c>
      <c r="P69" s="12" t="s">
        <v>25</v>
      </c>
      <c r="Q69" s="13">
        <v>98051000</v>
      </c>
    </row>
    <row r="70" spans="2:17" ht="52.8" customHeight="1">
      <c r="B70" s="7">
        <v>65</v>
      </c>
      <c r="C70" s="8" t="s">
        <v>63</v>
      </c>
      <c r="D70" s="8" t="s">
        <v>137</v>
      </c>
      <c r="E70" s="2" t="s">
        <v>44</v>
      </c>
      <c r="F70" s="2" t="s">
        <v>157</v>
      </c>
      <c r="G70" s="2" t="s">
        <v>21</v>
      </c>
      <c r="H70" s="1" t="s">
        <v>16</v>
      </c>
      <c r="I70" s="1" t="s">
        <v>17</v>
      </c>
      <c r="J70" s="1" t="s">
        <v>23</v>
      </c>
      <c r="K70" s="1" t="s">
        <v>18</v>
      </c>
      <c r="L70" s="1" t="s">
        <v>19</v>
      </c>
      <c r="M70" s="2">
        <v>3.8</v>
      </c>
      <c r="N70" s="9">
        <f t="shared" ref="N70:N101" si="2">O70-M70</f>
        <v>26.43</v>
      </c>
      <c r="O70" s="10">
        <v>30.23</v>
      </c>
      <c r="P70" s="12" t="s">
        <v>25</v>
      </c>
      <c r="Q70" s="13">
        <v>98051000</v>
      </c>
    </row>
    <row r="71" spans="2:17" ht="52.8" customHeight="1">
      <c r="B71" s="7">
        <v>66</v>
      </c>
      <c r="C71" s="8" t="s">
        <v>63</v>
      </c>
      <c r="D71" s="8" t="s">
        <v>138</v>
      </c>
      <c r="E71" s="2" t="s">
        <v>44</v>
      </c>
      <c r="F71" s="2" t="s">
        <v>164</v>
      </c>
      <c r="G71" s="2" t="s">
        <v>22</v>
      </c>
      <c r="H71" s="1" t="s">
        <v>16</v>
      </c>
      <c r="I71" s="1" t="s">
        <v>17</v>
      </c>
      <c r="J71" s="1" t="s">
        <v>23</v>
      </c>
      <c r="K71" s="1" t="s">
        <v>18</v>
      </c>
      <c r="L71" s="1" t="s">
        <v>19</v>
      </c>
      <c r="M71" s="2">
        <v>3.8</v>
      </c>
      <c r="N71" s="9">
        <f t="shared" si="2"/>
        <v>25.34</v>
      </c>
      <c r="O71" s="10">
        <v>29.14</v>
      </c>
      <c r="P71" s="12" t="s">
        <v>25</v>
      </c>
      <c r="Q71" s="13">
        <v>98051000</v>
      </c>
    </row>
    <row r="72" spans="2:17" ht="52.8" customHeight="1">
      <c r="B72" s="7">
        <v>67</v>
      </c>
      <c r="C72" s="8" t="s">
        <v>64</v>
      </c>
      <c r="D72" s="8" t="s">
        <v>139</v>
      </c>
      <c r="E72" s="2" t="s">
        <v>44</v>
      </c>
      <c r="F72" s="2" t="s">
        <v>167</v>
      </c>
      <c r="G72" s="2" t="s">
        <v>21</v>
      </c>
      <c r="H72" s="1" t="s">
        <v>16</v>
      </c>
      <c r="I72" s="1" t="s">
        <v>17</v>
      </c>
      <c r="J72" s="1" t="s">
        <v>171</v>
      </c>
      <c r="K72" s="1" t="s">
        <v>18</v>
      </c>
      <c r="L72" s="1" t="s">
        <v>19</v>
      </c>
      <c r="M72" s="2">
        <v>3.8</v>
      </c>
      <c r="N72" s="9">
        <f t="shared" si="2"/>
        <v>24.599999999999998</v>
      </c>
      <c r="O72" s="10">
        <v>28.4</v>
      </c>
      <c r="P72" s="12" t="s">
        <v>25</v>
      </c>
      <c r="Q72" s="13">
        <v>98051000</v>
      </c>
    </row>
    <row r="73" spans="2:17" ht="52.8" customHeight="1">
      <c r="B73" s="7">
        <v>68</v>
      </c>
      <c r="C73" s="8" t="s">
        <v>64</v>
      </c>
      <c r="D73" s="8" t="s">
        <v>140</v>
      </c>
      <c r="E73" s="2" t="s">
        <v>44</v>
      </c>
      <c r="F73" s="2" t="s">
        <v>164</v>
      </c>
      <c r="G73" s="2" t="s">
        <v>22</v>
      </c>
      <c r="H73" s="1" t="s">
        <v>16</v>
      </c>
      <c r="I73" s="1" t="s">
        <v>17</v>
      </c>
      <c r="J73" s="1" t="s">
        <v>23</v>
      </c>
      <c r="K73" s="1" t="s">
        <v>18</v>
      </c>
      <c r="L73" s="1" t="s">
        <v>19</v>
      </c>
      <c r="M73" s="2">
        <v>3.8</v>
      </c>
      <c r="N73" s="9">
        <f t="shared" si="2"/>
        <v>23.13</v>
      </c>
      <c r="O73" s="10">
        <v>26.93</v>
      </c>
      <c r="P73" s="12" t="s">
        <v>25</v>
      </c>
      <c r="Q73" s="13">
        <v>98051000</v>
      </c>
    </row>
    <row r="74" spans="2:17" ht="52.8" customHeight="1">
      <c r="B74" s="7">
        <v>69</v>
      </c>
      <c r="C74" s="8" t="s">
        <v>65</v>
      </c>
      <c r="D74" s="8" t="s">
        <v>141</v>
      </c>
      <c r="E74" s="2" t="s">
        <v>44</v>
      </c>
      <c r="F74" s="2" t="s">
        <v>162</v>
      </c>
      <c r="G74" s="2" t="s">
        <v>21</v>
      </c>
      <c r="H74" s="1" t="s">
        <v>16</v>
      </c>
      <c r="I74" s="1" t="s">
        <v>17</v>
      </c>
      <c r="J74" s="1" t="s">
        <v>23</v>
      </c>
      <c r="K74" s="1" t="s">
        <v>18</v>
      </c>
      <c r="L74" s="1" t="s">
        <v>19</v>
      </c>
      <c r="M74" s="2">
        <v>3.83</v>
      </c>
      <c r="N74" s="9">
        <f t="shared" si="2"/>
        <v>22.049999999999997</v>
      </c>
      <c r="O74" s="10">
        <v>25.88</v>
      </c>
      <c r="P74" s="12" t="s">
        <v>25</v>
      </c>
      <c r="Q74" s="13">
        <v>98051000</v>
      </c>
    </row>
    <row r="75" spans="2:17" ht="52.8" customHeight="1">
      <c r="B75" s="7">
        <v>70</v>
      </c>
      <c r="C75" s="8" t="s">
        <v>65</v>
      </c>
      <c r="D75" s="8" t="s">
        <v>142</v>
      </c>
      <c r="E75" s="2" t="s">
        <v>44</v>
      </c>
      <c r="F75" s="2" t="s">
        <v>163</v>
      </c>
      <c r="G75" s="2" t="s">
        <v>22</v>
      </c>
      <c r="H75" s="1" t="s">
        <v>16</v>
      </c>
      <c r="I75" s="1" t="s">
        <v>17</v>
      </c>
      <c r="J75" s="1" t="s">
        <v>23</v>
      </c>
      <c r="K75" s="1" t="s">
        <v>18</v>
      </c>
      <c r="L75" s="1" t="s">
        <v>19</v>
      </c>
      <c r="M75" s="2">
        <v>3.83</v>
      </c>
      <c r="N75" s="9">
        <f t="shared" si="2"/>
        <v>15.659999999999998</v>
      </c>
      <c r="O75" s="10">
        <v>19.489999999999998</v>
      </c>
      <c r="P75" s="12" t="s">
        <v>25</v>
      </c>
      <c r="Q75" s="13">
        <v>98051000</v>
      </c>
    </row>
    <row r="76" spans="2:17" ht="52.8" customHeight="1">
      <c r="B76" s="7">
        <v>71</v>
      </c>
      <c r="C76" s="8" t="s">
        <v>66</v>
      </c>
      <c r="D76" s="8" t="s">
        <v>143</v>
      </c>
      <c r="E76" s="2" t="s">
        <v>44</v>
      </c>
      <c r="F76" s="2" t="s">
        <v>164</v>
      </c>
      <c r="G76" s="2" t="s">
        <v>21</v>
      </c>
      <c r="H76" s="1" t="s">
        <v>16</v>
      </c>
      <c r="I76" s="1" t="s">
        <v>17</v>
      </c>
      <c r="J76" s="1" t="s">
        <v>23</v>
      </c>
      <c r="K76" s="1" t="s">
        <v>18</v>
      </c>
      <c r="L76" s="1" t="s">
        <v>19</v>
      </c>
      <c r="M76" s="2">
        <v>3.8</v>
      </c>
      <c r="N76" s="9">
        <f t="shared" si="2"/>
        <v>26.5</v>
      </c>
      <c r="O76" s="10">
        <v>30.3</v>
      </c>
      <c r="P76" s="12" t="s">
        <v>25</v>
      </c>
      <c r="Q76" s="13">
        <v>98051000</v>
      </c>
    </row>
    <row r="77" spans="2:17" ht="52.8" customHeight="1">
      <c r="B77" s="7">
        <v>72</v>
      </c>
      <c r="C77" s="8" t="s">
        <v>66</v>
      </c>
      <c r="D77" s="8" t="s">
        <v>144</v>
      </c>
      <c r="E77" s="2" t="s">
        <v>44</v>
      </c>
      <c r="F77" s="2" t="s">
        <v>168</v>
      </c>
      <c r="G77" s="2" t="s">
        <v>22</v>
      </c>
      <c r="H77" s="1" t="s">
        <v>16</v>
      </c>
      <c r="I77" s="1" t="s">
        <v>17</v>
      </c>
      <c r="J77" s="1" t="s">
        <v>23</v>
      </c>
      <c r="K77" s="1" t="s">
        <v>18</v>
      </c>
      <c r="L77" s="1" t="s">
        <v>19</v>
      </c>
      <c r="M77" s="2">
        <v>3.8</v>
      </c>
      <c r="N77" s="9">
        <f t="shared" si="2"/>
        <v>9.41</v>
      </c>
      <c r="O77" s="10">
        <v>13.21</v>
      </c>
      <c r="P77" s="12" t="s">
        <v>25</v>
      </c>
      <c r="Q77" s="13">
        <v>98051000</v>
      </c>
    </row>
    <row r="78" spans="2:17" ht="52.8" customHeight="1">
      <c r="B78" s="7">
        <v>73</v>
      </c>
      <c r="C78" s="8" t="s">
        <v>67</v>
      </c>
      <c r="D78" s="8" t="s">
        <v>145</v>
      </c>
      <c r="E78" s="2" t="s">
        <v>44</v>
      </c>
      <c r="F78" s="2" t="s">
        <v>157</v>
      </c>
      <c r="G78" s="2" t="s">
        <v>21</v>
      </c>
      <c r="H78" s="1" t="s">
        <v>16</v>
      </c>
      <c r="I78" s="1" t="s">
        <v>17</v>
      </c>
      <c r="J78" s="1" t="s">
        <v>23</v>
      </c>
      <c r="K78" s="1" t="s">
        <v>18</v>
      </c>
      <c r="L78" s="1" t="s">
        <v>19</v>
      </c>
      <c r="M78" s="2">
        <v>3.83</v>
      </c>
      <c r="N78" s="9">
        <f t="shared" si="2"/>
        <v>25.46</v>
      </c>
      <c r="O78" s="10">
        <v>29.29</v>
      </c>
      <c r="P78" s="12" t="s">
        <v>25</v>
      </c>
      <c r="Q78" s="13">
        <v>98051000</v>
      </c>
    </row>
    <row r="79" spans="2:17" ht="52.8" customHeight="1">
      <c r="B79" s="7">
        <v>74</v>
      </c>
      <c r="C79" s="8" t="s">
        <v>70</v>
      </c>
      <c r="D79" s="8" t="s">
        <v>151</v>
      </c>
      <c r="E79" s="2" t="s">
        <v>44</v>
      </c>
      <c r="F79" s="2" t="s">
        <v>157</v>
      </c>
      <c r="G79" s="2" t="s">
        <v>21</v>
      </c>
      <c r="H79" s="1" t="s">
        <v>16</v>
      </c>
      <c r="I79" s="1" t="s">
        <v>17</v>
      </c>
      <c r="J79" s="1" t="s">
        <v>23</v>
      </c>
      <c r="K79" s="1" t="s">
        <v>18</v>
      </c>
      <c r="L79" s="1" t="s">
        <v>19</v>
      </c>
      <c r="M79" s="2">
        <v>3.8</v>
      </c>
      <c r="N79" s="9">
        <f t="shared" si="2"/>
        <v>23.63</v>
      </c>
      <c r="O79" s="10">
        <v>27.43</v>
      </c>
      <c r="P79" s="12" t="s">
        <v>25</v>
      </c>
      <c r="Q79" s="13">
        <v>98051000</v>
      </c>
    </row>
    <row r="80" spans="2:17" ht="52.8" customHeight="1">
      <c r="B80" s="7">
        <v>75</v>
      </c>
      <c r="C80" s="8" t="s">
        <v>70</v>
      </c>
      <c r="D80" s="8" t="s">
        <v>152</v>
      </c>
      <c r="E80" s="2" t="s">
        <v>44</v>
      </c>
      <c r="F80" s="2" t="s">
        <v>163</v>
      </c>
      <c r="G80" s="2" t="s">
        <v>22</v>
      </c>
      <c r="H80" s="1" t="s">
        <v>16</v>
      </c>
      <c r="I80" s="1" t="s">
        <v>17</v>
      </c>
      <c r="J80" s="1" t="s">
        <v>23</v>
      </c>
      <c r="K80" s="1" t="s">
        <v>18</v>
      </c>
      <c r="L80" s="1" t="s">
        <v>19</v>
      </c>
      <c r="M80" s="2">
        <v>3.8</v>
      </c>
      <c r="N80" s="9">
        <f t="shared" si="2"/>
        <v>22.97</v>
      </c>
      <c r="O80" s="10">
        <v>26.77</v>
      </c>
      <c r="P80" s="12" t="s">
        <v>25</v>
      </c>
      <c r="Q80" s="13">
        <v>98051000</v>
      </c>
    </row>
    <row r="81" spans="2:17" ht="52.8" customHeight="1">
      <c r="B81" s="7">
        <v>76</v>
      </c>
      <c r="C81" s="8" t="s">
        <v>71</v>
      </c>
      <c r="D81" s="8" t="s">
        <v>153</v>
      </c>
      <c r="E81" s="2" t="s">
        <v>44</v>
      </c>
      <c r="F81" s="2" t="s">
        <v>162</v>
      </c>
      <c r="G81" s="2" t="s">
        <v>21</v>
      </c>
      <c r="H81" s="1" t="s">
        <v>16</v>
      </c>
      <c r="I81" s="1" t="s">
        <v>17</v>
      </c>
      <c r="J81" s="1" t="s">
        <v>23</v>
      </c>
      <c r="K81" s="1" t="s">
        <v>18</v>
      </c>
      <c r="L81" s="1" t="s">
        <v>19</v>
      </c>
      <c r="M81" s="2">
        <v>3.8</v>
      </c>
      <c r="N81" s="9">
        <f t="shared" si="2"/>
        <v>25.09</v>
      </c>
      <c r="O81" s="10">
        <v>28.89</v>
      </c>
      <c r="P81" s="12" t="s">
        <v>25</v>
      </c>
      <c r="Q81" s="13">
        <v>98051000</v>
      </c>
    </row>
    <row r="82" spans="2:17" ht="52.8" customHeight="1">
      <c r="B82" s="7">
        <v>77</v>
      </c>
      <c r="C82" s="8" t="s">
        <v>71</v>
      </c>
      <c r="D82" s="8" t="s">
        <v>154</v>
      </c>
      <c r="E82" s="2" t="s">
        <v>44</v>
      </c>
      <c r="F82" s="2" t="s">
        <v>163</v>
      </c>
      <c r="G82" s="2" t="s">
        <v>22</v>
      </c>
      <c r="H82" s="1" t="s">
        <v>16</v>
      </c>
      <c r="I82" s="1" t="s">
        <v>17</v>
      </c>
      <c r="J82" s="1" t="s">
        <v>23</v>
      </c>
      <c r="K82" s="1" t="s">
        <v>18</v>
      </c>
      <c r="L82" s="1" t="s">
        <v>19</v>
      </c>
      <c r="M82" s="2">
        <v>3.83</v>
      </c>
      <c r="N82" s="9">
        <f t="shared" si="2"/>
        <v>20.170000000000002</v>
      </c>
      <c r="O82" s="10">
        <v>24</v>
      </c>
      <c r="P82" s="12" t="s">
        <v>25</v>
      </c>
      <c r="Q82" s="13">
        <v>98051000</v>
      </c>
    </row>
    <row r="83" spans="2:17" ht="52.8" customHeight="1">
      <c r="B83" s="7">
        <v>78</v>
      </c>
      <c r="C83" s="8" t="s">
        <v>72</v>
      </c>
      <c r="D83" s="8" t="s">
        <v>156</v>
      </c>
      <c r="E83" s="2" t="s">
        <v>44</v>
      </c>
      <c r="F83" s="2" t="s">
        <v>163</v>
      </c>
      <c r="G83" s="2" t="s">
        <v>22</v>
      </c>
      <c r="H83" s="1" t="s">
        <v>16</v>
      </c>
      <c r="I83" s="1" t="s">
        <v>17</v>
      </c>
      <c r="J83" s="1" t="s">
        <v>23</v>
      </c>
      <c r="K83" s="1" t="s">
        <v>18</v>
      </c>
      <c r="L83" s="1" t="s">
        <v>19</v>
      </c>
      <c r="M83" s="2">
        <v>3.8</v>
      </c>
      <c r="N83" s="9">
        <f t="shared" si="2"/>
        <v>15.309999999999999</v>
      </c>
      <c r="O83" s="10">
        <v>19.11</v>
      </c>
      <c r="P83" s="12" t="s">
        <v>25</v>
      </c>
      <c r="Q83" s="13">
        <v>98051000</v>
      </c>
    </row>
    <row r="84" spans="2:17" ht="52.8" customHeight="1">
      <c r="B84" s="7">
        <v>79</v>
      </c>
      <c r="C84" s="8" t="s">
        <v>68</v>
      </c>
      <c r="D84" s="8" t="s">
        <v>148</v>
      </c>
      <c r="E84" s="2" t="s">
        <v>44</v>
      </c>
      <c r="F84" s="2" t="s">
        <v>164</v>
      </c>
      <c r="G84" s="2" t="s">
        <v>22</v>
      </c>
      <c r="H84" s="1" t="s">
        <v>16</v>
      </c>
      <c r="I84" s="1" t="s">
        <v>17</v>
      </c>
      <c r="J84" s="1" t="s">
        <v>23</v>
      </c>
      <c r="K84" s="1" t="s">
        <v>18</v>
      </c>
      <c r="L84" s="1" t="s">
        <v>19</v>
      </c>
      <c r="M84" s="2">
        <v>3.8</v>
      </c>
      <c r="N84" s="9">
        <f t="shared" si="2"/>
        <v>10.920000000000002</v>
      </c>
      <c r="O84" s="10">
        <v>14.72</v>
      </c>
      <c r="P84" s="12" t="s">
        <v>25</v>
      </c>
      <c r="Q84" s="13">
        <v>98051000</v>
      </c>
    </row>
    <row r="85" spans="2:17" ht="52.8" customHeight="1">
      <c r="B85" s="7">
        <v>80</v>
      </c>
      <c r="C85" s="8" t="s">
        <v>72</v>
      </c>
      <c r="D85" s="8" t="s">
        <v>155</v>
      </c>
      <c r="E85" s="2" t="s">
        <v>44</v>
      </c>
      <c r="F85" s="2" t="s">
        <v>165</v>
      </c>
      <c r="G85" s="2" t="s">
        <v>21</v>
      </c>
      <c r="H85" s="1" t="s">
        <v>16</v>
      </c>
      <c r="I85" s="1" t="s">
        <v>17</v>
      </c>
      <c r="J85" s="1" t="s">
        <v>23</v>
      </c>
      <c r="K85" s="1" t="s">
        <v>18</v>
      </c>
      <c r="L85" s="1" t="s">
        <v>19</v>
      </c>
      <c r="M85" s="2">
        <v>3.8</v>
      </c>
      <c r="N85" s="9">
        <f t="shared" si="2"/>
        <v>26.11</v>
      </c>
      <c r="O85" s="10">
        <v>29.91</v>
      </c>
      <c r="P85" s="12" t="s">
        <v>25</v>
      </c>
      <c r="Q85" s="13">
        <v>98051000</v>
      </c>
    </row>
    <row r="86" spans="2:17" ht="52.8" customHeight="1">
      <c r="B86" s="7">
        <v>81</v>
      </c>
      <c r="C86" s="8" t="s">
        <v>69</v>
      </c>
      <c r="D86" s="8" t="s">
        <v>149</v>
      </c>
      <c r="E86" s="2" t="s">
        <v>44</v>
      </c>
      <c r="F86" s="2" t="s">
        <v>164</v>
      </c>
      <c r="G86" s="2" t="s">
        <v>21</v>
      </c>
      <c r="H86" s="1" t="s">
        <v>16</v>
      </c>
      <c r="I86" s="1" t="s">
        <v>17</v>
      </c>
      <c r="J86" s="1" t="s">
        <v>23</v>
      </c>
      <c r="K86" s="1" t="s">
        <v>18</v>
      </c>
      <c r="L86" s="1" t="s">
        <v>19</v>
      </c>
      <c r="M86" s="2">
        <v>3.83</v>
      </c>
      <c r="N86" s="9">
        <f t="shared" si="2"/>
        <v>27.18</v>
      </c>
      <c r="O86" s="10">
        <v>31.01</v>
      </c>
      <c r="P86" s="12" t="s">
        <v>25</v>
      </c>
      <c r="Q86" s="13">
        <v>98051000</v>
      </c>
    </row>
    <row r="87" spans="2:17" ht="52.8" customHeight="1">
      <c r="B87" s="7">
        <v>82</v>
      </c>
      <c r="C87" s="8" t="s">
        <v>67</v>
      </c>
      <c r="D87" s="8" t="s">
        <v>146</v>
      </c>
      <c r="E87" s="2" t="s">
        <v>44</v>
      </c>
      <c r="F87" s="2" t="s">
        <v>163</v>
      </c>
      <c r="G87" s="2" t="s">
        <v>22</v>
      </c>
      <c r="H87" s="1" t="s">
        <v>16</v>
      </c>
      <c r="I87" s="1" t="s">
        <v>17</v>
      </c>
      <c r="J87" s="1" t="s">
        <v>23</v>
      </c>
      <c r="K87" s="1" t="s">
        <v>18</v>
      </c>
      <c r="L87" s="1" t="s">
        <v>19</v>
      </c>
      <c r="M87" s="2">
        <v>3.83</v>
      </c>
      <c r="N87" s="9">
        <f t="shared" si="2"/>
        <v>22.82</v>
      </c>
      <c r="O87" s="10">
        <v>26.65</v>
      </c>
      <c r="P87" s="12" t="s">
        <v>25</v>
      </c>
      <c r="Q87" s="13">
        <v>98051000</v>
      </c>
    </row>
    <row r="88" spans="2:17" ht="52.8" customHeight="1">
      <c r="B88" s="7">
        <v>83</v>
      </c>
      <c r="C88" s="22" t="s">
        <v>68</v>
      </c>
      <c r="D88" s="22" t="s">
        <v>147</v>
      </c>
      <c r="E88" s="23" t="s">
        <v>44</v>
      </c>
      <c r="F88" s="23" t="s">
        <v>164</v>
      </c>
      <c r="G88" s="23" t="s">
        <v>21</v>
      </c>
      <c r="H88" s="1" t="s">
        <v>16</v>
      </c>
      <c r="I88" s="1" t="s">
        <v>17</v>
      </c>
      <c r="J88" s="24" t="s">
        <v>23</v>
      </c>
      <c r="K88" s="1" t="s">
        <v>18</v>
      </c>
      <c r="L88" s="1" t="s">
        <v>19</v>
      </c>
      <c r="M88" s="23">
        <v>3.8</v>
      </c>
      <c r="N88" s="25">
        <f t="shared" si="2"/>
        <v>26.36</v>
      </c>
      <c r="O88" s="26">
        <v>30.16</v>
      </c>
      <c r="P88" s="12" t="s">
        <v>25</v>
      </c>
      <c r="Q88" s="13">
        <v>98051000</v>
      </c>
    </row>
    <row r="89" spans="2:17" ht="52.8" customHeight="1">
      <c r="B89" s="7">
        <v>84</v>
      </c>
      <c r="C89" s="22" t="s">
        <v>69</v>
      </c>
      <c r="D89" s="22" t="s">
        <v>150</v>
      </c>
      <c r="E89" s="23" t="s">
        <v>44</v>
      </c>
      <c r="F89" s="23" t="s">
        <v>164</v>
      </c>
      <c r="G89" s="23" t="s">
        <v>22</v>
      </c>
      <c r="H89" s="1" t="s">
        <v>16</v>
      </c>
      <c r="I89" s="1" t="s">
        <v>17</v>
      </c>
      <c r="J89" s="24" t="s">
        <v>23</v>
      </c>
      <c r="K89" s="1" t="s">
        <v>18</v>
      </c>
      <c r="L89" s="1" t="s">
        <v>19</v>
      </c>
      <c r="M89" s="23">
        <v>3.8</v>
      </c>
      <c r="N89" s="25">
        <f t="shared" si="2"/>
        <v>24.39</v>
      </c>
      <c r="O89" s="26">
        <v>28.19</v>
      </c>
      <c r="P89" s="12" t="s">
        <v>25</v>
      </c>
      <c r="Q89" s="13">
        <v>98051000</v>
      </c>
    </row>
    <row r="90" spans="2:17" ht="25.2" thickBot="1">
      <c r="B90" s="14"/>
      <c r="C90" s="15"/>
      <c r="D90" s="15"/>
      <c r="E90" s="15"/>
      <c r="F90" s="15"/>
      <c r="G90" s="15"/>
      <c r="H90" s="15"/>
      <c r="I90" s="15"/>
      <c r="J90" s="15"/>
      <c r="K90" s="15"/>
      <c r="L90" s="33" t="s">
        <v>173</v>
      </c>
      <c r="M90" s="16">
        <f>SUM(M6:M89)</f>
        <v>314.63000000000034</v>
      </c>
      <c r="N90" s="17">
        <f>SUM(N6:N89)</f>
        <v>1864.9700000000003</v>
      </c>
      <c r="O90" s="17">
        <f>SUM(O6:O89)</f>
        <v>2179.6000000000008</v>
      </c>
      <c r="P90" s="15"/>
      <c r="Q90" s="18"/>
    </row>
  </sheetData>
  <mergeCells count="3">
    <mergeCell ref="B3:Q3"/>
    <mergeCell ref="B4:J4"/>
    <mergeCell ref="K4:Q4"/>
  </mergeCells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Munendra Dhayal</cp:lastModifiedBy>
  <dcterms:created xsi:type="dcterms:W3CDTF">2026-04-09T06:51:13Z</dcterms:created>
  <dcterms:modified xsi:type="dcterms:W3CDTF">2026-10-03T11:30:59Z</dcterms:modified>
</cp:coreProperties>
</file>