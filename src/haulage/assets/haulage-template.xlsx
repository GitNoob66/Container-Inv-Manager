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CWC ALL DOCS\MDCC Rail Ops\R-14\MATP - MDCC- MATP 27.08.2026\"/>
    </mc:Choice>
  </mc:AlternateContent>
  <xr:revisionPtr revIDLastSave="0" documentId="13_ncr:1_{BFC955F1-5E90-4FB3-8296-510FB3008F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G6" i="1"/>
  <c r="F11" i="1"/>
  <c r="F10" i="1"/>
  <c r="F9" i="1"/>
  <c r="F8" i="1"/>
  <c r="F7" i="1"/>
  <c r="F6" i="1"/>
  <c r="G10" i="1" l="1"/>
  <c r="G11" i="1"/>
  <c r="E13" i="1"/>
  <c r="D13" i="1"/>
  <c r="G9" i="1" l="1"/>
  <c r="G13" i="1" l="1"/>
  <c r="G14" i="1" s="1"/>
  <c r="G15" i="1" s="1"/>
  <c r="G16" i="1" l="1"/>
  <c r="G17" i="1" l="1"/>
  <c r="G18" i="1" s="1"/>
  <c r="G19" i="1" s="1"/>
</calcChain>
</file>

<file path=xl/sharedStrings.xml><?xml version="1.0" encoding="utf-8"?>
<sst xmlns="http://schemas.openxmlformats.org/spreadsheetml/2006/main" count="21" uniqueCount="20">
  <si>
    <t>1101-1150</t>
  </si>
  <si>
    <t>MATP</t>
  </si>
  <si>
    <t>For 1TEU</t>
  </si>
  <si>
    <t>WGNS</t>
  </si>
  <si>
    <t>TEUs</t>
  </si>
  <si>
    <t>RATE</t>
  </si>
  <si>
    <t>TOTAL</t>
  </si>
  <si>
    <t>40' Loaded Containers- Above 20 MT and upto 40MT (LD)</t>
  </si>
  <si>
    <t>40' Loaded Containers- upto 20MT (UD)</t>
  </si>
  <si>
    <t>40' Loaded Containers- Above 20 MT and upto 40MT (UD)</t>
  </si>
  <si>
    <t>BVZC</t>
  </si>
  <si>
    <t>DPCN</t>
  </si>
  <si>
    <t>FREIGHT TOTAL</t>
  </si>
  <si>
    <t>DC</t>
  </si>
  <si>
    <t>GST</t>
  </si>
  <si>
    <t>Grand Total FR</t>
  </si>
  <si>
    <t>RAIL HAULAGE CALCULATION CWC R-14 MDCC to MATP 29.08.2026</t>
  </si>
  <si>
    <t>20' Loaded Containers- upto 10MT</t>
  </si>
  <si>
    <t>20' Loaded Containers- Above 10MT and upto 20MT</t>
  </si>
  <si>
    <t>40' Loaded Container- upto 20MT(LD)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</si>
</sst>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Bookman Old Style"/>
      <family val="1"/>
    </font>
    <font>
      <sz val="16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G19"/>
  <sheetViews>
    <sheetView tabSelected="1" topLeftCell="A2" zoomScale="110" zoomScaleNormal="110" workbookViewId="0">
      <selection activeCell="I6" sqref="I6"/>
    </sheetView>
  </sheetViews>
  <sheetFormatPr defaultRowHeight="14.4" x14ac:dyDescent="0.3"/>
  <cols>
    <col min="2" max="2" width="89.109375" bestFit="1" customWidth="1"/>
    <col min="3" max="3" width="18" bestFit="1" customWidth="1"/>
    <col min="4" max="4" width="10.88671875" bestFit="1" customWidth="1"/>
    <col min="5" max="5" width="9.44140625" bestFit="1" customWidth="1"/>
    <col min="6" max="6" width="14.77734375" bestFit="1" customWidth="1"/>
    <col min="7" max="7" width="23.77734375" bestFit="1" customWidth="1"/>
  </cols>
  <sheetData>
    <row r="3" spans="2:7" ht="21" x14ac:dyDescent="0.4">
      <c r="B3" s="10" t="s">
        <v>16</v>
      </c>
      <c r="C3" s="10"/>
      <c r="D3" s="10"/>
      <c r="E3" s="10"/>
      <c r="F3" s="10"/>
      <c r="G3" s="10"/>
    </row>
    <row r="4" spans="2:7" ht="20.399999999999999" x14ac:dyDescent="0.35">
      <c r="B4" s="1">
        <v>1106</v>
      </c>
      <c r="C4" s="2" t="s">
        <v>0</v>
      </c>
      <c r="D4" s="2"/>
      <c r="E4" s="2"/>
      <c r="F4" s="2"/>
      <c r="G4" s="2"/>
    </row>
    <row r="5" spans="2:7" ht="21" x14ac:dyDescent="0.4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</row>
    <row r="6" spans="2:7" ht="20.399999999999999" x14ac:dyDescent="0.35">
      <c r="B6" s="4" t="s">
        <v>17</v>
      </c>
      <c r="C6" s="4">
        <v>15720</v>
      </c>
      <c r="D6" s="5">
        <v>3</v>
      </c>
      <c r="E6" s="5">
        <v>3</v>
      </c>
      <c r="F6" s="5">
        <f>C6</f>
        <v>15720</v>
      </c>
      <c r="G6" s="6">
        <f>F6*E6</f>
        <v>47160</v>
      </c>
    </row>
    <row r="7" spans="2:7" ht="20.399999999999999" x14ac:dyDescent="0.35">
      <c r="B7" s="4" t="s">
        <v>18</v>
      </c>
      <c r="C7" s="4">
        <v>19953</v>
      </c>
      <c r="D7" s="5">
        <v>3</v>
      </c>
      <c r="E7" s="5">
        <v>3</v>
      </c>
      <c r="F7" s="5">
        <f>C7</f>
        <v>19953</v>
      </c>
      <c r="G7" s="6">
        <f>F7*E7</f>
        <v>59859</v>
      </c>
    </row>
    <row r="8" spans="2:7" ht="20.399999999999999" x14ac:dyDescent="0.35">
      <c r="B8" s="4" t="s">
        <v>19</v>
      </c>
      <c r="C8" s="4">
        <v>15720</v>
      </c>
      <c r="D8" s="5">
        <v>2</v>
      </c>
      <c r="E8" s="5">
        <v>4</v>
      </c>
      <c r="F8" s="5">
        <f>C8*1.8</f>
        <v>28296</v>
      </c>
      <c r="G8" s="6">
        <f>F8*D8</f>
        <v>56592</v>
      </c>
    </row>
    <row r="9" spans="2:7" ht="20.399999999999999" x14ac:dyDescent="0.35">
      <c r="B9" s="4" t="s">
        <v>7</v>
      </c>
      <c r="C9" s="4">
        <v>19953</v>
      </c>
      <c r="D9" s="5">
        <v>42</v>
      </c>
      <c r="E9" s="5">
        <v>84</v>
      </c>
      <c r="F9" s="5">
        <f>C9*1.8</f>
        <v>35915.4</v>
      </c>
      <c r="G9" s="6">
        <f>F9*D9</f>
        <v>1508446.8</v>
      </c>
    </row>
    <row r="10" spans="2:7" ht="20.399999999999999" x14ac:dyDescent="0.35">
      <c r="B10" s="4" t="s">
        <v>8</v>
      </c>
      <c r="C10" s="4">
        <v>15720</v>
      </c>
      <c r="D10" s="5">
        <v>20</v>
      </c>
      <c r="E10" s="5">
        <v>40</v>
      </c>
      <c r="F10" s="5">
        <f>C10*1.8/2</f>
        <v>14148</v>
      </c>
      <c r="G10" s="6">
        <f t="shared" ref="G10:G11" si="0">F10*D10</f>
        <v>282960</v>
      </c>
    </row>
    <row r="11" spans="2:7" ht="20.399999999999999" x14ac:dyDescent="0.35">
      <c r="B11" s="4" t="s">
        <v>9</v>
      </c>
      <c r="C11" s="4">
        <v>19953</v>
      </c>
      <c r="D11" s="5">
        <v>26</v>
      </c>
      <c r="E11" s="5">
        <v>52</v>
      </c>
      <c r="F11" s="5">
        <f>C11*1.8/2</f>
        <v>17957.7</v>
      </c>
      <c r="G11" s="6">
        <f t="shared" si="0"/>
        <v>466900.2</v>
      </c>
    </row>
    <row r="12" spans="2:7" ht="20.399999999999999" x14ac:dyDescent="0.35">
      <c r="B12" s="2" t="s">
        <v>10</v>
      </c>
      <c r="C12" s="2"/>
      <c r="D12" s="5">
        <v>0</v>
      </c>
      <c r="E12" s="5">
        <v>0</v>
      </c>
      <c r="F12" s="5">
        <v>0</v>
      </c>
      <c r="G12" s="5">
        <v>0</v>
      </c>
    </row>
    <row r="13" spans="2:7" ht="21" x14ac:dyDescent="0.4">
      <c r="B13" s="3" t="s">
        <v>6</v>
      </c>
      <c r="C13" s="3"/>
      <c r="D13" s="7">
        <f>SUM(D6:D12)</f>
        <v>96</v>
      </c>
      <c r="E13" s="7">
        <f>SUM(E6:E12)</f>
        <v>186</v>
      </c>
      <c r="F13" s="7"/>
      <c r="G13" s="7">
        <f>SUM(G6:G12)</f>
        <v>2421918</v>
      </c>
    </row>
    <row r="14" spans="2:7" ht="21" x14ac:dyDescent="0.4">
      <c r="B14" s="2" t="s">
        <v>11</v>
      </c>
      <c r="C14" s="2"/>
      <c r="D14" s="5"/>
      <c r="E14" s="7"/>
      <c r="F14" s="8">
        <v>0.1</v>
      </c>
      <c r="G14" s="5">
        <f>G13*10%</f>
        <v>242191.80000000002</v>
      </c>
    </row>
    <row r="15" spans="2:7" ht="21" x14ac:dyDescent="0.4">
      <c r="B15" s="2"/>
      <c r="C15" s="2"/>
      <c r="D15" s="11" t="s">
        <v>12</v>
      </c>
      <c r="E15" s="11"/>
      <c r="F15" s="11"/>
      <c r="G15" s="7">
        <f>SUM(G13:G14)</f>
        <v>2664109.7999999998</v>
      </c>
    </row>
    <row r="16" spans="2:7" ht="20.399999999999999" x14ac:dyDescent="0.35">
      <c r="B16" s="2" t="s">
        <v>13</v>
      </c>
      <c r="C16" s="2"/>
      <c r="D16" s="5"/>
      <c r="E16" s="8">
        <v>0.05</v>
      </c>
      <c r="F16" s="5"/>
      <c r="G16" s="5">
        <f>G15*5%</f>
        <v>133205.49</v>
      </c>
    </row>
    <row r="17" spans="2:7" ht="20.399999999999999" x14ac:dyDescent="0.35">
      <c r="B17" s="2"/>
      <c r="C17" s="2"/>
      <c r="D17" s="5"/>
      <c r="E17" s="8"/>
      <c r="F17" s="5"/>
      <c r="G17" s="5">
        <f>G15+G16</f>
        <v>2797315.29</v>
      </c>
    </row>
    <row r="18" spans="2:7" ht="20.399999999999999" x14ac:dyDescent="0.35">
      <c r="B18" s="2" t="s">
        <v>14</v>
      </c>
      <c r="C18" s="2"/>
      <c r="D18" s="5"/>
      <c r="E18" s="8">
        <v>0.05</v>
      </c>
      <c r="F18" s="5"/>
      <c r="G18" s="9">
        <f>G17*5%</f>
        <v>139865.76450000002</v>
      </c>
    </row>
    <row r="19" spans="2:7" ht="21" x14ac:dyDescent="0.4">
      <c r="B19" s="2"/>
      <c r="C19" s="2"/>
      <c r="D19" s="11" t="s">
        <v>15</v>
      </c>
      <c r="E19" s="11"/>
      <c r="F19" s="11"/>
      <c r="G19" s="7">
        <f>G15+G16+G18</f>
        <v>2937181.0545000001</v>
      </c>
    </row>
  </sheetData>
  <mergeCells count="3">
    <mergeCell ref="B3:G3"/>
    <mergeCell ref="D15:F15"/>
    <mergeCell ref="D19:F19"/>
  </mergeCells>
  <pageMargins left="0.7" right="0.7" top="0.75" bottom="0.75" header="0.3" footer="0.3"/>
  <pageSetup paperSize="9" scale="74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Munendra Dhayal</cp:lastModifiedBy>
  <cp:lastPrinted>2026-08-29T07:14:49Z</cp:lastPrinted>
  <dcterms:created xsi:type="dcterms:W3CDTF">2026-04-09T06:32:04Z</dcterms:created>
  <dcterms:modified xsi:type="dcterms:W3CDTF">2026-08-29T07:38:35Z</dcterms:modified>
</cp:coreProperties>
</file>